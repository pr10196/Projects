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phisf\Downloads\H2TX\ACCHD Health Data\"/>
    </mc:Choice>
  </mc:AlternateContent>
  <xr:revisionPtr revIDLastSave="0" documentId="13_ncr:1_{C3DDAE7C-741F-415E-B45C-0B2E31D0B0CE}" xr6:coauthVersionLast="47" xr6:coauthVersionMax="47" xr10:uidLastSave="{00000000-0000-0000-0000-000000000000}"/>
  <bookViews>
    <workbookView xWindow="-110" yWindow="-110" windowWidth="19420" windowHeight="10300" activeTab="3" xr2:uid="{00000000-000D-0000-FFFF-FFFF00000000}"/>
  </bookViews>
  <sheets>
    <sheet name="Dashboard" sheetId="3" r:id="rId1"/>
    <sheet name="Original Data" sheetId="1" state="hidden" r:id="rId2"/>
    <sheet name="Monthly Services (PHC, TXHS, W)" sheetId="20" r:id="rId3"/>
    <sheet name="Census Data" sheetId="9" r:id="rId4"/>
    <sheet name="Service Breakdown by Month" sheetId="18" r:id="rId5"/>
    <sheet name="TB Screening and Positive Resul" sheetId="16" r:id="rId6"/>
    <sheet name="Monthly Infectious Disease Repo" sheetId="15" r:id="rId7"/>
    <sheet name="Vaccines Administered by Age Gr" sheetId="14" r:id="rId8"/>
    <sheet name="Clients Served vs. Total Servic" sheetId="13" r:id="rId9"/>
  </sheets>
  <definedNames>
    <definedName name="Slicer_Month">#N/A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<sst xmlns="http://schemas.openxmlformats.org/spreadsheetml/2006/main" count="162" uniqueCount="53">
  <si>
    <t>September</t>
  </si>
  <si>
    <t>October</t>
  </si>
  <si>
    <t>November</t>
  </si>
  <si>
    <t>December</t>
  </si>
  <si>
    <t>January</t>
  </si>
  <si>
    <t>February</t>
  </si>
  <si>
    <t>March</t>
  </si>
  <si>
    <t>April</t>
  </si>
  <si>
    <t>May</t>
  </si>
  <si>
    <t>June</t>
  </si>
  <si>
    <t>July</t>
  </si>
  <si>
    <t>August</t>
  </si>
  <si>
    <t>Clients Served</t>
  </si>
  <si>
    <t>Childrens Vaccines Given</t>
  </si>
  <si>
    <t>TB Screening</t>
  </si>
  <si>
    <t>Positive TB Readings</t>
  </si>
  <si>
    <t>Adult Vaccines Given</t>
  </si>
  <si>
    <t>Infectious Disease Reporting</t>
  </si>
  <si>
    <t>Total Services</t>
  </si>
  <si>
    <t>None</t>
  </si>
  <si>
    <t>666+</t>
  </si>
  <si>
    <t>3 all Neg Tspot</t>
  </si>
  <si>
    <t>1+ referred to Tyler</t>
  </si>
  <si>
    <t>2: 1 neg Tspot and 1 borderline</t>
  </si>
  <si>
    <t>2: both neg blood results</t>
  </si>
  <si>
    <t>5: (+ 3 blood -) and 2: (+)</t>
  </si>
  <si>
    <t>Month</t>
  </si>
  <si>
    <t>Child Vaccines</t>
  </si>
  <si>
    <t>Positive TB (Count)</t>
  </si>
  <si>
    <t>Positive TB Notes</t>
  </si>
  <si>
    <t>1 Neg and 1 Pos Tspot</t>
  </si>
  <si>
    <t>1 Neg and 1 Borderline</t>
  </si>
  <si>
    <t>1 neg and 1 Pos T-spot</t>
  </si>
  <si>
    <t>2 neg blood results</t>
  </si>
  <si>
    <t>Adult Vaccines</t>
  </si>
  <si>
    <t>Infectious Disease Reports</t>
  </si>
  <si>
    <t>3 Neg Tspot</t>
  </si>
  <si>
    <t>Row Labels</t>
  </si>
  <si>
    <t>Grand Total</t>
  </si>
  <si>
    <t>N/A</t>
  </si>
  <si>
    <t>PHC</t>
  </si>
  <si>
    <t>Texas Health Steps</t>
  </si>
  <si>
    <t>Women's Health</t>
  </si>
  <si>
    <t>Women's Health Services</t>
  </si>
  <si>
    <t>Texas Health Steps' Services</t>
  </si>
  <si>
    <t>PHC Services</t>
  </si>
  <si>
    <t>Positive TB Cases</t>
  </si>
  <si>
    <t>TB Screenings</t>
  </si>
  <si>
    <t>Number of Adult Vaccines</t>
  </si>
  <si>
    <t>Number of Child Vaccines</t>
  </si>
  <si>
    <t>Number of Clients Served</t>
  </si>
  <si>
    <t>Number of Total Services</t>
  </si>
  <si>
    <t>Number of Infectious Disease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</si>
</sst>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3" fontId="0" fillId="0" borderId="0" xfId="0" applyNumberFormat="1" applyAlignment="1">
      <alignment horizontal="center"/>
    </xf>
    <xf numFmtId="0" fontId="0" fillId="0" borderId="0" xfId="0" pivotButton="1"/>
    <xf numFmtId="0" fontId="0" fillId="0" borderId="0" xfId="0" applyAlignment="1">
      <alignment horizontal="left"/>
    </xf>
  </cellXfs>
  <cellStyles count="1">
    <cellStyle name="Normal" xfId="0" builtinId="0"/>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FF9900"/>
      <color rgb="FF660066"/>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[FY2025 Immunization &amp; Infectious Diseases Census.xlsx]Service Breakdown by Month!PivotTable58</c:name>
    <c:fmtId val="7"/>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Service Breakdown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'Service Breakdown by Month'!$B$3</c:f>
              <c:strCache>
                <c:ptCount val="1"/>
                <c:pt idx="0">
                  <c:v>Number of Clients Served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'Service Breakdown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'Service Breakdown by Month'!$B$4:$B$16</c:f>
              <c:numCache>
                <c:formatCode>General</c:formatCode>
                <c:ptCount val="12"/>
                <c:pt idx="0">
                  <c:v>364</c:v>
                </c:pt>
                <c:pt idx="1">
                  <c:v>348</c:v>
                </c:pt>
                <c:pt idx="2">
                  <c:v>455</c:v>
                </c:pt>
                <c:pt idx="3">
                  <c:v>510</c:v>
                </c:pt>
                <c:pt idx="4">
                  <c:v>0</c:v>
                </c:pt>
                <c:pt idx="5">
                  <c:v>0</c:v>
                </c:pt>
                <c:pt idx="6">
                  <c:v>0</c:v>
                </c:pt>
                <c:pt idx="7">
                  <c:v>0</c:v>
                </c:pt>
                <c:pt idx="8">
                  <c:v>523</c:v>
                </c:pt>
                <c:pt idx="9">
                  <c:v>681</c:v>
                </c:pt>
                <c:pt idx="10">
                  <c:v>417</c:v>
                </c:pt>
                <c:pt idx="11">
                  <c:v>280</c:v>
                </c:pt>
              </c:numCache>
            </c:numRef>
          </c:val>
          <c:extLst>
            <c:ext xmlns:c16="http://schemas.microsoft.com/office/drawing/2014/chart" uri="{C3380CC4-5D6E-409C-BE32-E72D297353CC}">
              <c16:uniqueId val="{00000000-C125-426E-A17B-E592B083B72D}"/>
            </c:ext>
          </c:extLst>
        </c:ser>
        <c:ser>
          <c:idx val="1"/>
          <c:order val="1"/>
          <c:tx>
            <c:strRef>
              <c:f>'Service Breakdown by Month'!$C$3</c:f>
              <c:strCache>
                <c:ptCount val="1"/>
                <c:pt idx="0">
                  <c:v>Number of Infectious Disease Reports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'Service Breakdown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'Service Breakdown by Month'!$C$4:$C$16</c:f>
              <c:numCache>
                <c:formatCode>General</c:formatCode>
                <c:ptCount val="12"/>
                <c:pt idx="0">
                  <c:v>298</c:v>
                </c:pt>
                <c:pt idx="1">
                  <c:v>252</c:v>
                </c:pt>
                <c:pt idx="2">
                  <c:v>236</c:v>
                </c:pt>
                <c:pt idx="3">
                  <c:v>134</c:v>
                </c:pt>
                <c:pt idx="4">
                  <c:v>0</c:v>
                </c:pt>
                <c:pt idx="5">
                  <c:v>0</c:v>
                </c:pt>
                <c:pt idx="6">
                  <c:v>0</c:v>
                </c:pt>
                <c:pt idx="7">
                  <c:v>0</c:v>
                </c:pt>
                <c:pt idx="8">
                  <c:v>101</c:v>
                </c:pt>
                <c:pt idx="9">
                  <c:v>81</c:v>
                </c:pt>
                <c:pt idx="10">
                  <c:v>63</c:v>
                </c:pt>
                <c:pt idx="11">
                  <c:v>175</c:v>
                </c:pt>
              </c:numCache>
            </c:numRef>
          </c:val>
          <c:extLst>
            <c:ext xmlns:c16="http://schemas.microsoft.com/office/drawing/2014/chart" uri="{C3380CC4-5D6E-409C-BE32-E72D297353CC}">
              <c16:uniqueId val="{00000001-C125-426E-A17B-E592B083B72D}"/>
            </c:ext>
          </c:extLst>
        </c:ser>
        <c:ser>
          <c:idx val="2"/>
          <c:order val="2"/>
          <c:tx>
            <c:strRef>
              <c:f>'Service Breakdown by Month'!$D$3</c:f>
              <c:strCache>
                <c:ptCount val="1"/>
                <c:pt idx="0">
                  <c:v>Number of Child Vaccines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'Service Breakdown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'Service Breakdown by Month'!$D$4:$D$16</c:f>
              <c:numCache>
                <c:formatCode>General</c:formatCode>
                <c:ptCount val="12"/>
                <c:pt idx="0">
                  <c:v>178</c:v>
                </c:pt>
                <c:pt idx="1">
                  <c:v>228</c:v>
                </c:pt>
                <c:pt idx="2">
                  <c:v>239</c:v>
                </c:pt>
                <c:pt idx="3">
                  <c:v>330</c:v>
                </c:pt>
                <c:pt idx="4">
                  <c:v>0</c:v>
                </c:pt>
                <c:pt idx="5">
                  <c:v>0</c:v>
                </c:pt>
                <c:pt idx="6">
                  <c:v>0</c:v>
                </c:pt>
                <c:pt idx="7">
                  <c:v>0</c:v>
                </c:pt>
                <c:pt idx="8">
                  <c:v>357</c:v>
                </c:pt>
                <c:pt idx="9">
                  <c:v>343</c:v>
                </c:pt>
                <c:pt idx="10">
                  <c:v>265</c:v>
                </c:pt>
                <c:pt idx="11">
                  <c:v>139</c:v>
                </c:pt>
              </c:numCache>
            </c:numRef>
          </c:val>
          <c:extLst>
            <c:ext xmlns:c16="http://schemas.microsoft.com/office/drawing/2014/chart" uri="{C3380CC4-5D6E-409C-BE32-E72D297353CC}">
              <c16:uniqueId val="{00000002-C125-426E-A17B-E592B083B72D}"/>
            </c:ext>
          </c:extLst>
        </c:ser>
        <c:ser>
          <c:idx val="3"/>
          <c:order val="3"/>
          <c:tx>
            <c:strRef>
              <c:f>'Service Breakdown by Month'!$E$3</c:f>
              <c:strCache>
                <c:ptCount val="1"/>
                <c:pt idx="0">
                  <c:v>Number of Adult Vaccines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'Service Breakdown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'Service Breakdown by Month'!$E$4:$E$16</c:f>
              <c:numCache>
                <c:formatCode>General</c:formatCode>
                <c:ptCount val="12"/>
                <c:pt idx="0">
                  <c:v>33</c:v>
                </c:pt>
                <c:pt idx="1">
                  <c:v>22</c:v>
                </c:pt>
                <c:pt idx="2">
                  <c:v>22</c:v>
                </c:pt>
                <c:pt idx="3">
                  <c:v>24</c:v>
                </c:pt>
                <c:pt idx="4">
                  <c:v>0</c:v>
                </c:pt>
                <c:pt idx="5">
                  <c:v>0</c:v>
                </c:pt>
                <c:pt idx="6">
                  <c:v>0</c:v>
                </c:pt>
                <c:pt idx="7">
                  <c:v>0</c:v>
                </c:pt>
                <c:pt idx="8">
                  <c:v>100</c:v>
                </c:pt>
                <c:pt idx="9">
                  <c:v>287</c:v>
                </c:pt>
                <c:pt idx="10">
                  <c:v>76</c:v>
                </c:pt>
                <c:pt idx="11">
                  <c:v>40</c:v>
                </c:pt>
              </c:numCache>
            </c:numRef>
          </c:val>
          <c:extLst>
            <c:ext xmlns:c16="http://schemas.microsoft.com/office/drawing/2014/chart" uri="{C3380CC4-5D6E-409C-BE32-E72D297353CC}">
              <c16:uniqueId val="{00000003-C125-426E-A17B-E592B083B72D}"/>
            </c:ext>
          </c:extLst>
        </c:ser>
        <c:ser>
          <c:idx val="4"/>
          <c:order val="4"/>
          <c:tx>
            <c:strRef>
              <c:f>'Service Breakdown by Month'!$F$3</c:f>
              <c:strCache>
                <c:ptCount val="1"/>
                <c:pt idx="0">
                  <c:v>TB Screenings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'Service Breakdown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'Service Breakdown by Month'!$F$4:$F$16</c:f>
              <c:numCache>
                <c:formatCode>General</c:formatCode>
                <c:ptCount val="12"/>
                <c:pt idx="0">
                  <c:v>21</c:v>
                </c:pt>
                <c:pt idx="1">
                  <c:v>33</c:v>
                </c:pt>
                <c:pt idx="2">
                  <c:v>28</c:v>
                </c:pt>
                <c:pt idx="3">
                  <c:v>52</c:v>
                </c:pt>
                <c:pt idx="4">
                  <c:v>0</c:v>
                </c:pt>
                <c:pt idx="5">
                  <c:v>0</c:v>
                </c:pt>
                <c:pt idx="6">
                  <c:v>0</c:v>
                </c:pt>
                <c:pt idx="7">
                  <c:v>0</c:v>
                </c:pt>
                <c:pt idx="8">
                  <c:v>93</c:v>
                </c:pt>
                <c:pt idx="9">
                  <c:v>94</c:v>
                </c:pt>
                <c:pt idx="10">
                  <c:v>13</c:v>
                </c:pt>
                <c:pt idx="11">
                  <c:v>31</c:v>
                </c:pt>
              </c:numCache>
            </c:numRef>
          </c:val>
          <c:extLst>
            <c:ext xmlns:c16="http://schemas.microsoft.com/office/drawing/2014/chart" uri="{C3380CC4-5D6E-409C-BE32-E72D297353CC}">
              <c16:uniqueId val="{00000004-C125-426E-A17B-E592B083B72D}"/>
            </c:ext>
          </c:extLst>
        </c:ser>
        <c:ser>
          <c:idx val="5"/>
          <c:order val="5"/>
          <c:tx>
            <c:strRef>
              <c:f>'Service Breakdown by Month'!$G$3</c:f>
              <c:strCache>
                <c:ptCount val="1"/>
                <c:pt idx="0">
                  <c:v>Positive TB Cases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'Service Breakdown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'Service Breakdown by Month'!$G$4:$G$16</c:f>
              <c:numCache>
                <c:formatCode>General</c:formatCode>
                <c:ptCount val="12"/>
                <c:pt idx="0">
                  <c:v>1</c:v>
                </c:pt>
                <c:pt idx="1">
                  <c:v>0</c:v>
                </c:pt>
                <c:pt idx="2">
                  <c:v>0</c:v>
                </c:pt>
                <c:pt idx="3">
                  <c:v>2</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C125-426E-A17B-E592B083B72D}"/>
            </c:ext>
          </c:extLst>
        </c:ser>
        <c:dLbls>
          <c:showLegendKey val="0"/>
          <c:showVal val="0"/>
          <c:showCatName val="0"/>
          <c:showSerName val="0"/>
          <c:showPercent val="0"/>
          <c:showBubbleSize val="0"/>
        </c:dLbls>
        <c:gapWidth val="150"/>
        <c:overlap val="100"/>
        <c:axId val="239151855"/>
        <c:axId val="239153775"/>
      </c:barChart>
      <c:catAx>
        <c:axId val="2391518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153775"/>
        <c:crosses val="autoZero"/>
        <c:auto val="1"/>
        <c:lblAlgn val="ctr"/>
        <c:lblOffset val="100"/>
        <c:noMultiLvlLbl val="0"/>
      </c:catAx>
      <c:valAx>
        <c:axId val="239153775"/>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15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[FY2025 Immunization &amp; Infectious Diseases Census.xlsx]TB Screening and Positive Resul!PivotTable56</c:name>
    <c:fmtId val="5"/>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1">
                <a:solidFill>
                  <a:sysClr val="windowText" lastClr="000000"/>
                </a:solidFill>
              </a:rPr>
              <a:t>TB Screening and Positive Results Over Time</a:t>
            </a: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'TB Screening and Positive Resul'!$B$3</c:f>
              <c:strCache>
                <c:ptCount val="1"/>
                <c:pt idx="0">
                  <c:v>TB Screenings</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'TB Screening and Positive Resul'!$A$4:$A$16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'TB Screening and Positive Resul'!$B$4:$B$16</c:f>
              <c:numCache>
                <c:formatCode>General</c:formatCode>
                <c:ptCount val="12"/>
                <c:pt idx="0">
                  <c:v>21</c:v>
                </c:pt>
                <c:pt idx="1">
                  <c:v>33</c:v>
                </c:pt>
                <c:pt idx="2">
                  <c:v>28</c:v>
                </c:pt>
                <c:pt idx="3">
                  <c:v>52</c:v>
                </c:pt>
                <c:pt idx="4">
                  <c:v>0</c:v>
                </c:pt>
                <c:pt idx="5">
                  <c:v>0</c:v>
                </c:pt>
                <c:pt idx="6">
                  <c:v>0</c:v>
                </c:pt>
                <c:pt idx="7">
                  <c:v>0</c:v>
                </c:pt>
                <c:pt idx="8">
                  <c:v>93</c:v>
                </c:pt>
                <c:pt idx="9">
                  <c:v>94</c:v>
                </c:pt>
                <c:pt idx="10">
                  <c:v>13</c:v>
                </c:pt>
                <c:pt idx="11">
                  <c:v>31</c:v>
                </c:pt>
              </c:numCache>
            </c:numRef>
          </c:val>
          <c:smooth val="0"/>
          <c:extLst>
            <c:ext xmlns:c16="http://schemas.microsoft.com/office/drawing/2014/chart" uri="{C3380CC4-5D6E-409C-BE32-E72D297353CC}">
              <c16:uniqueId val="{00000000-16E1-4625-9BA9-7625AC0E8EAD}"/>
            </c:ext>
          </c:extLst>
        </c:ser>
        <c:ser>
          <c:idx val="1"/>
          <c:order val="1"/>
          <c:tx>
            <c:strRef>
              <c:f>'TB Screening and Positive Resul'!$C$3</c:f>
              <c:strCache>
                <c:ptCount val="1"/>
                <c:pt idx="0">
                  <c:v>Positive TB Cases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'TB Screening and Positive Resul'!$A$4:$A$16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'TB Screening and Positive Resul'!$C$4:$C$16</c:f>
              <c:numCache>
                <c:formatCode>General</c:formatCode>
                <c:ptCount val="12"/>
                <c:pt idx="0">
                  <c:v>1</c:v>
                </c:pt>
                <c:pt idx="1">
                  <c:v>0</c:v>
                </c:pt>
                <c:pt idx="2">
                  <c:v>0</c:v>
                </c:pt>
                <c:pt idx="3">
                  <c:v>2</c:v>
                </c:pt>
                <c:pt idx="4">
                  <c:v>0</c:v>
                </c:pt>
                <c:pt idx="5">
                  <c:v>0</c:v>
                </c:pt>
                <c:pt idx="6">
                  <c:v>0</c:v>
                </c:pt>
                <c:pt idx="7">
                  <c:v>0</c:v>
                </c:pt>
                <c:pt idx="8">
                  <c:v>0</c:v>
                </c:pt>
                <c:pt idx="9">
                  <c:v>1</c:v>
                </c:pt>
                <c:pt idx="10">
                  <c:v>0</c:v>
                </c:pt>
                <c:pt idx="11">
                  <c:v>1</c:v>
                </c:pt>
              </c:numCache>
            </c:numRef>
          </c:val>
          <c:smooth val="0"/>
          <c:extLst>
            <c:ext xmlns:c16="http://schemas.microsoft.com/office/drawing/2014/chart" uri="{C3380CC4-5D6E-409C-BE32-E72D297353CC}">
              <c16:uniqueId val="{00000001-16E1-4625-9BA9-7625AC0E8EAD}"/>
            </c:ext>
          </c:extLst>
        </c:ser>
        <c:dLbls>
          <c:showLegendKey val="0"/>
          <c:showVal val="0"/>
          <c:showCatName val="0"/>
          <c:showSerName val="0"/>
          <c:showPercent val="0"/>
          <c:showBubbleSize val="0"/>
        </c:dLbls>
        <c:marker val="1"/>
        <c:smooth val="0"/>
        <c:axId val="1091651472"/>
        <c:axId val="1091651952"/>
      </c:lineChart>
      <c:catAx>
        <c:axId val="109165147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1651952"/>
        <c:crosses val="autoZero"/>
        <c:auto val="1"/>
        <c:lblAlgn val="ctr"/>
        <c:lblOffset val="100"/>
        <c:noMultiLvlLbl val="0"/>
      </c:catAx>
      <c:valAx>
        <c:axId val="10916519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165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[FY2025 Immunization &amp; Infectious Diseases Census.xlsx]Monthly Infectious Disease Repo!PivotTable55</c:name>
    <c:fmtId val="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Monthly Infectious Disease Reports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Infectious Disease Repo'!$B$3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'Monthly Infectious Disease Repo'!$A$4:$A$16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Infectious Disease Repo'!$B$4:$B$16</c:f>
              <c:numCache>
                <c:formatCode>General</c:formatCode>
                <c:ptCount val="12"/>
                <c:pt idx="0">
                  <c:v>298</c:v>
                </c:pt>
                <c:pt idx="1">
                  <c:v>252</c:v>
                </c:pt>
                <c:pt idx="2">
                  <c:v>236</c:v>
                </c:pt>
                <c:pt idx="3">
                  <c:v>134</c:v>
                </c:pt>
                <c:pt idx="4">
                  <c:v>0</c:v>
                </c:pt>
                <c:pt idx="5">
                  <c:v>0</c:v>
                </c:pt>
                <c:pt idx="6">
                  <c:v>0</c:v>
                </c:pt>
                <c:pt idx="7">
                  <c:v>0</c:v>
                </c:pt>
                <c:pt idx="8">
                  <c:v>101</c:v>
                </c:pt>
                <c:pt idx="9">
                  <c:v>81</c:v>
                </c:pt>
                <c:pt idx="10">
                  <c:v>63</c:v>
                </c:pt>
                <c:pt idx="11">
                  <c:v>175</c:v>
                </c:pt>
              </c:numCache>
            </c:numRef>
          </c:val>
          <c:smooth val="0"/>
          <c:extLst>
            <c:ext xmlns:c16="http://schemas.microsoft.com/office/drawing/2014/chart" uri="{C3380CC4-5D6E-409C-BE32-E72D297353CC}">
              <c16:uniqueId val="{00000000-9EA6-48FC-AC7C-80D137F0209B}"/>
            </c:ext>
          </c:extLst>
        </c:ser>
        <c:dLbls>
          <c:showLegendKey val="0"/>
          <c:showVal val="0"/>
          <c:showCatName val="0"/>
          <c:showSerName val="0"/>
          <c:showPercent val="0"/>
          <c:showBubbleSize val="0"/>
        </c:dLbls>
        <c:marker val="1"/>
        <c:smooth val="0"/>
        <c:axId val="1091638032"/>
        <c:axId val="1091638512"/>
      </c:lineChart>
      <c:catAx>
        <c:axId val="109163803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1638512"/>
        <c:crosses val="autoZero"/>
        <c:auto val="1"/>
        <c:lblAlgn val="ctr"/>
        <c:lblOffset val="100"/>
        <c:noMultiLvlLbl val="0"/>
      </c:catAx>
      <c:valAx>
        <c:axId val="10916385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163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[FY2025 Immunization &amp; Infectious Diseases Census.xlsx]Vaccines Administered by Age Gr!PivotTable54</c:name>
    <c:fmtId val="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Vaccines Administered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'Vaccines Administered by Age Gr'!$B$3</c:f>
              <c:strCache>
                <c:ptCount val="1"/>
                <c:pt idx="0">
                  <c:v>Number of Adult Vaccines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'Vaccines Administered by Age Gr'!$A$4:$A$16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'Vaccines Administered by Age Gr'!$B$4:$B$16</c:f>
              <c:numCache>
                <c:formatCode>General</c:formatCode>
                <c:ptCount val="12"/>
                <c:pt idx="0">
                  <c:v>33</c:v>
                </c:pt>
                <c:pt idx="1">
                  <c:v>22</c:v>
                </c:pt>
                <c:pt idx="2">
                  <c:v>22</c:v>
                </c:pt>
                <c:pt idx="3">
                  <c:v>24</c:v>
                </c:pt>
                <c:pt idx="4">
                  <c:v>0</c:v>
                </c:pt>
                <c:pt idx="5">
                  <c:v>0</c:v>
                </c:pt>
                <c:pt idx="6">
                  <c:v>0</c:v>
                </c:pt>
                <c:pt idx="7">
                  <c:v>0</c:v>
                </c:pt>
                <c:pt idx="8">
                  <c:v>100</c:v>
                </c:pt>
                <c:pt idx="9">
                  <c:v>287</c:v>
                </c:pt>
                <c:pt idx="10">
                  <c:v>76</c:v>
                </c:pt>
                <c:pt idx="11">
                  <c:v>40</c:v>
                </c:pt>
              </c:numCache>
            </c:numRef>
          </c:val>
          <c:extLst>
            <c:ext xmlns:c16="http://schemas.microsoft.com/office/drawing/2014/chart" uri="{C3380CC4-5D6E-409C-BE32-E72D297353CC}">
              <c16:uniqueId val="{00000000-3343-4F20-B780-A497F8790728}"/>
            </c:ext>
          </c:extLst>
        </c:ser>
        <c:ser>
          <c:idx val="1"/>
          <c:order val="1"/>
          <c:tx>
            <c:strRef>
              <c:f>'Vaccines Administered by Age Gr'!$C$3</c:f>
              <c:strCache>
                <c:ptCount val="1"/>
                <c:pt idx="0">
                  <c:v>Number of Child Vaccines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'Vaccines Administered by Age Gr'!$A$4:$A$16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'Vaccines Administered by Age Gr'!$C$4:$C$16</c:f>
              <c:numCache>
                <c:formatCode>General</c:formatCode>
                <c:ptCount val="12"/>
                <c:pt idx="0">
                  <c:v>178</c:v>
                </c:pt>
                <c:pt idx="1">
                  <c:v>228</c:v>
                </c:pt>
                <c:pt idx="2">
                  <c:v>239</c:v>
                </c:pt>
                <c:pt idx="3">
                  <c:v>330</c:v>
                </c:pt>
                <c:pt idx="4">
                  <c:v>0</c:v>
                </c:pt>
                <c:pt idx="5">
                  <c:v>0</c:v>
                </c:pt>
                <c:pt idx="6">
                  <c:v>0</c:v>
                </c:pt>
                <c:pt idx="7">
                  <c:v>0</c:v>
                </c:pt>
                <c:pt idx="8">
                  <c:v>357</c:v>
                </c:pt>
                <c:pt idx="9">
                  <c:v>343</c:v>
                </c:pt>
                <c:pt idx="10">
                  <c:v>265</c:v>
                </c:pt>
                <c:pt idx="11">
                  <c:v>139</c:v>
                </c:pt>
              </c:numCache>
            </c:numRef>
          </c:val>
          <c:extLst>
            <c:ext xmlns:c16="http://schemas.microsoft.com/office/drawing/2014/chart" uri="{C3380CC4-5D6E-409C-BE32-E72D297353CC}">
              <c16:uniqueId val="{00000001-3343-4F20-B780-A497F8790728}"/>
            </c:ext>
          </c:extLst>
        </c:ser>
        <c:dLbls>
          <c:showLegendKey val="0"/>
          <c:showVal val="0"/>
          <c:showCatName val="0"/>
          <c:showSerName val="0"/>
          <c:showPercent val="0"/>
          <c:showBubbleSize val="0"/>
        </c:dLbls>
        <c:gapWidth val="100"/>
        <c:overlap val="-24"/>
        <c:axId val="1091622672"/>
        <c:axId val="1091623632"/>
      </c:barChart>
      <c:catAx>
        <c:axId val="10916226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1623632"/>
        <c:crosses val="autoZero"/>
        <c:auto val="1"/>
        <c:lblAlgn val="ctr"/>
        <c:lblOffset val="100"/>
        <c:noMultiLvlLbl val="0"/>
      </c:catAx>
      <c:valAx>
        <c:axId val="10916236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162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[FY2025 Immunization &amp; Infectious Diseases Census.xlsx]Clients Served vs. Total Servic!PivotTable53</c:name>
    <c:fmtId val="8"/>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Clients Served vs. Total Services Per Month </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'Clients Served vs. Total Servic'!$B$3</c:f>
              <c:strCache>
                <c:ptCount val="1"/>
                <c:pt idx="0">
                  <c:v>Number of Clients Served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'Clients Served vs. Total Servic'!$A$4:$A$16</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'Clients Served vs. Total Servic'!$B$4:$B$16</c:f>
              <c:numCache>
                <c:formatCode>General</c:formatCode>
                <c:ptCount val="12"/>
                <c:pt idx="0">
                  <c:v>280</c:v>
                </c:pt>
                <c:pt idx="1">
                  <c:v>417</c:v>
                </c:pt>
                <c:pt idx="2">
                  <c:v>681</c:v>
                </c:pt>
                <c:pt idx="3">
                  <c:v>523</c:v>
                </c:pt>
                <c:pt idx="4">
                  <c:v>0</c:v>
                </c:pt>
                <c:pt idx="5">
                  <c:v>0</c:v>
                </c:pt>
                <c:pt idx="6">
                  <c:v>0</c:v>
                </c:pt>
                <c:pt idx="7">
                  <c:v>0</c:v>
                </c:pt>
                <c:pt idx="8">
                  <c:v>510</c:v>
                </c:pt>
                <c:pt idx="9">
                  <c:v>455</c:v>
                </c:pt>
                <c:pt idx="10">
                  <c:v>348</c:v>
                </c:pt>
                <c:pt idx="11">
                  <c:v>364</c:v>
                </c:pt>
              </c:numCache>
            </c:numRef>
          </c:val>
          <c:extLst>
            <c:ext xmlns:c16="http://schemas.microsoft.com/office/drawing/2014/chart" uri="{C3380CC4-5D6E-409C-BE32-E72D297353CC}">
              <c16:uniqueId val="{00000000-F1DC-4F17-8930-4A2B6FE0125E}"/>
            </c:ext>
          </c:extLst>
        </c:ser>
        <c:ser>
          <c:idx val="1"/>
          <c:order val="1"/>
          <c:tx>
            <c:strRef>
              <c:f>'Clients Served vs. Total Servic'!$C$3</c:f>
              <c:strCache>
                <c:ptCount val="1"/>
                <c:pt idx="0">
                  <c:v>Number of Total Services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'Clients Served vs. Total Servic'!$A$4:$A$16</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'Clients Served vs. Total Servic'!$C$4:$C$16</c:f>
              <c:numCache>
                <c:formatCode>General</c:formatCode>
                <c:ptCount val="12"/>
                <c:pt idx="0">
                  <c:v>666</c:v>
                </c:pt>
                <c:pt idx="1">
                  <c:v>834</c:v>
                </c:pt>
                <c:pt idx="2">
                  <c:v>1488</c:v>
                </c:pt>
                <c:pt idx="3">
                  <c:v>1084</c:v>
                </c:pt>
                <c:pt idx="4">
                  <c:v>0</c:v>
                </c:pt>
                <c:pt idx="5">
                  <c:v>0</c:v>
                </c:pt>
                <c:pt idx="6">
                  <c:v>0</c:v>
                </c:pt>
                <c:pt idx="7">
                  <c:v>0</c:v>
                </c:pt>
                <c:pt idx="8">
                  <c:v>1055</c:v>
                </c:pt>
                <c:pt idx="9">
                  <c:v>982</c:v>
                </c:pt>
                <c:pt idx="10">
                  <c:v>883</c:v>
                </c:pt>
                <c:pt idx="11">
                  <c:v>894</c:v>
                </c:pt>
              </c:numCache>
            </c:numRef>
          </c:val>
          <c:extLst>
            <c:ext xmlns:c16="http://schemas.microsoft.com/office/drawing/2014/chart" uri="{C3380CC4-5D6E-409C-BE32-E72D297353CC}">
              <c16:uniqueId val="{00000001-F1DC-4F17-8930-4A2B6FE0125E}"/>
            </c:ext>
          </c:extLst>
        </c:ser>
        <c:dLbls>
          <c:showLegendKey val="0"/>
          <c:showVal val="0"/>
          <c:showCatName val="0"/>
          <c:showSerName val="0"/>
          <c:showPercent val="0"/>
          <c:showBubbleSize val="0"/>
        </c:dLbls>
        <c:gapWidth val="100"/>
        <c:axId val="239095215"/>
        <c:axId val="239112015"/>
      </c:barChart>
      <c:catAx>
        <c:axId val="2390952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112015"/>
        <c:crosses val="autoZero"/>
        <c:auto val="1"/>
        <c:lblAlgn val="ctr"/>
        <c:lblOffset val="100"/>
        <c:noMultiLvlLbl val="0"/>
      </c:catAx>
      <c:valAx>
        <c:axId val="23911201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909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[FY2025 Immunization &amp; Infectious Diseases Census.xlsx]Monthly Services (PHC, TXHS, W)!PivotTable2</c:name>
    <c:fmtId val="9"/>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a:solidFill>
                  <a:sysClr val="windowText" lastClr="000000"/>
                </a:solidFill>
              </a:rPr>
              <a:t>Monthly Services by Department (PHC, Texas</a:t>
            </a:r>
            <a:r>
              <a:rPr lang="en-US" sz="1400" baseline="0">
                <a:solidFill>
                  <a:sysClr val="windowText" lastClr="000000"/>
                </a:solidFill>
              </a:rPr>
              <a:t> </a:t>
            </a:r>
            <a:r>
              <a:rPr lang="en-US" sz="1400">
                <a:solidFill>
                  <a:sysClr val="windowText" lastClr="000000"/>
                </a:solidFill>
              </a:rPr>
              <a:t>Health</a:t>
            </a:r>
            <a:r>
              <a:rPr lang="en-US" sz="1400" baseline="0">
                <a:solidFill>
                  <a:sysClr val="windowText" lastClr="000000"/>
                </a:solidFill>
              </a:rPr>
              <a:t> </a:t>
            </a:r>
            <a:r>
              <a:rPr lang="en-US" sz="1400">
                <a:solidFill>
                  <a:sysClr val="windowText" lastClr="000000"/>
                </a:solidFill>
              </a:rPr>
              <a:t>Steps, Women’s Health)</a:t>
            </a: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12700">
              <a:solidFill>
                <a:schemeClr val="lt2"/>
              </a:solidFill>
              <a:round/>
            </a:ln>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Services (PHC, TXHS, W)'!$B$3</c:f>
              <c:strCache>
                <c:ptCount val="1"/>
                <c:pt idx="0">
                  <c:v>Women's Health Services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'Monthly Services (PHC, TXHS, W)'!$A$4:$A$16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Services (PHC, TXHS, W)'!$B$4:$B$16</c:f>
              <c:numCache>
                <c:formatCode>General</c:formatCode>
                <c:ptCount val="12"/>
                <c:pt idx="0">
                  <c:v>82</c:v>
                </c:pt>
                <c:pt idx="1">
                  <c:v>78</c:v>
                </c:pt>
                <c:pt idx="2">
                  <c:v>82</c:v>
                </c:pt>
                <c:pt idx="3">
                  <c:v>99</c:v>
                </c:pt>
                <c:pt idx="4">
                  <c:v>0</c:v>
                </c:pt>
                <c:pt idx="5">
                  <c:v>0</c:v>
                </c:pt>
                <c:pt idx="6">
                  <c:v>0</c:v>
                </c:pt>
                <c:pt idx="7">
                  <c:v>0</c:v>
                </c:pt>
                <c:pt idx="8">
                  <c:v>97</c:v>
                </c:pt>
                <c:pt idx="9">
                  <c:v>103</c:v>
                </c:pt>
                <c:pt idx="10">
                  <c:v>78</c:v>
                </c:pt>
                <c:pt idx="11">
                  <c:v>65</c:v>
                </c:pt>
              </c:numCache>
            </c:numRef>
          </c:val>
          <c:extLst>
            <c:ext xmlns:c16="http://schemas.microsoft.com/office/drawing/2014/chart" uri="{C3380CC4-5D6E-409C-BE32-E72D297353CC}">
              <c16:uniqueId val="{00000000-5216-482E-8235-AA15A8CC1AA8}"/>
            </c:ext>
          </c:extLst>
        </c:ser>
        <c:ser>
          <c:idx val="1"/>
          <c:order val="1"/>
          <c:tx>
            <c:strRef>
              <c:f>'Monthly Services (PHC, TXHS, W)'!$C$3</c:f>
              <c:strCache>
                <c:ptCount val="1"/>
                <c:pt idx="0">
                  <c:v>Texas Health Steps' Services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cat>
            <c:strRef>
              <c:f>'Monthly Services (PHC, TXHS, W)'!$A$4:$A$16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Services (PHC, TXHS, W)'!$C$4:$C$16</c:f>
              <c:numCache>
                <c:formatCode>General</c:formatCode>
                <c:ptCount val="12"/>
                <c:pt idx="0">
                  <c:v>61</c:v>
                </c:pt>
                <c:pt idx="1">
                  <c:v>63</c:v>
                </c:pt>
                <c:pt idx="2">
                  <c:v>78</c:v>
                </c:pt>
                <c:pt idx="3">
                  <c:v>50</c:v>
                </c:pt>
                <c:pt idx="4">
                  <c:v>0</c:v>
                </c:pt>
                <c:pt idx="5">
                  <c:v>0</c:v>
                </c:pt>
                <c:pt idx="6">
                  <c:v>0</c:v>
                </c:pt>
                <c:pt idx="7">
                  <c:v>0</c:v>
                </c:pt>
                <c:pt idx="8">
                  <c:v>58</c:v>
                </c:pt>
                <c:pt idx="9">
                  <c:v>70</c:v>
                </c:pt>
                <c:pt idx="10">
                  <c:v>54</c:v>
                </c:pt>
                <c:pt idx="11">
                  <c:v>41</c:v>
                </c:pt>
              </c:numCache>
            </c:numRef>
          </c:val>
          <c:extLst>
            <c:ext xmlns:c16="http://schemas.microsoft.com/office/drawing/2014/chart" uri="{C3380CC4-5D6E-409C-BE32-E72D297353CC}">
              <c16:uniqueId val="{00000001-5216-482E-8235-AA15A8CC1AA8}"/>
            </c:ext>
          </c:extLst>
        </c:ser>
        <c:ser>
          <c:idx val="2"/>
          <c:order val="2"/>
          <c:tx>
            <c:strRef>
              <c:f>'Monthly Services (PHC, TXHS, W)'!$D$3</c:f>
              <c:strCache>
                <c:ptCount val="1"/>
                <c:pt idx="0">
                  <c:v>PHC Services</c:v>
                </c:pt>
              </c:strCache>
            </c:strRef>
          </c:tx>
          <c:spPr>
            <a:solidFill>
              <a:schemeClr val="accent4"/>
            </a:solidFill>
            <a:ln>
              <a:noFill/>
            </a:ln>
            <a:effectLst/>
          </c:spPr>
          <c:cat>
            <c:strRef>
              <c:f>'Monthly Services (PHC, TXHS, W)'!$A$4:$A$16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Services (PHC, TXHS, W)'!$D$4:$D$16</c:f>
              <c:numCache>
                <c:formatCode>General</c:formatCode>
                <c:ptCount val="12"/>
                <c:pt idx="0">
                  <c:v>505</c:v>
                </c:pt>
                <c:pt idx="1">
                  <c:v>485</c:v>
                </c:pt>
                <c:pt idx="2">
                  <c:v>481</c:v>
                </c:pt>
                <c:pt idx="3">
                  <c:v>569</c:v>
                </c:pt>
                <c:pt idx="4">
                  <c:v>0</c:v>
                </c:pt>
                <c:pt idx="5">
                  <c:v>0</c:v>
                </c:pt>
                <c:pt idx="6">
                  <c:v>0</c:v>
                </c:pt>
                <c:pt idx="7">
                  <c:v>0</c:v>
                </c:pt>
                <c:pt idx="8">
                  <c:v>567</c:v>
                </c:pt>
                <c:pt idx="9">
                  <c:v>655</c:v>
                </c:pt>
                <c:pt idx="10">
                  <c:v>514</c:v>
                </c:pt>
                <c:pt idx="11">
                  <c:v>528</c:v>
                </c:pt>
              </c:numCache>
            </c:numRef>
          </c:val>
          <c:extLst>
            <c:ext xmlns:c16="http://schemas.microsoft.com/office/drawing/2014/chart" uri="{C3380CC4-5D6E-409C-BE32-E72D297353CC}">
              <c16:uniqueId val="{00000002-5216-482E-8235-AA15A8CC1AA8}"/>
            </c:ext>
          </c:extLst>
        </c:ser>
        <c:dLbls>
          <c:showLegendKey val="0"/>
          <c:showVal val="0"/>
          <c:showCatName val="0"/>
          <c:showSerName val="0"/>
          <c:showPercent val="0"/>
          <c:showBubbleSize val="0"/>
        </c:dLbls>
        <c:axId val="1043047104"/>
        <c:axId val="1043063424"/>
      </c:areaChart>
      <c:catAx>
        <c:axId val="1043047104"/>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Month</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43063424"/>
        <c:crosses val="autoZero"/>
        <c:auto val="1"/>
        <c:lblAlgn val="ctr"/>
        <c:lblOffset val="100"/>
        <c:noMultiLvlLbl val="0"/>
      </c:catAx>
      <c:valAx>
        <c:axId val="104306342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Number of Services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43047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285102</xdr:colOff>
      <xdr:row>0</xdr:row>
      <xdr:rowOff>0</xdr:rowOff>
    </xdr:from>
    <xdr:to>
      <xdr:col>11</xdr:col>
      <xdr:colOff>167329</xdr:colOff>
      <xdr:row>15</xdr:row>
      <xdr:rowOff>77755</xdr:rowOff>
    </xdr:to>
    <xdr:graphicFrame macro="">
      <xdr:nvGraphicFramePr>
        <xdr:cNvPr id="2" name="Chart 1">
          <a:extLst>
            <a:ext uri="{FF2B5EF4-FFF2-40B4-BE49-F238E27FC236}">
              <a16:creationId xmlns:a16="http://schemas.microsoft.com/office/drawing/2014/main" id="{C95C0AC9-169D-4AB6-98DF-0974B3A1B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161989</xdr:colOff>
      <xdr:row>0</xdr:row>
      <xdr:rowOff>0</xdr:rowOff>
    </xdr:from>
    <xdr:to>
      <xdr:col>19</xdr:col>
      <xdr:colOff>44216</xdr:colOff>
      <xdr:row>15</xdr:row>
      <xdr:rowOff>38877</xdr:rowOff>
    </xdr:to>
    <xdr:graphicFrame macro="">
      <xdr:nvGraphicFramePr>
        <xdr:cNvPr id="3" name="Chart 2">
          <a:extLst>
            <a:ext uri="{FF2B5EF4-FFF2-40B4-BE49-F238E27FC236}">
              <a16:creationId xmlns:a16="http://schemas.microsoft.com/office/drawing/2014/main" id="{4D3EB002-8877-43AB-B36C-2D94CF277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285101</xdr:colOff>
      <xdr:row>15</xdr:row>
      <xdr:rowOff>55074</xdr:rowOff>
    </xdr:from>
    <xdr:to>
      <xdr:col>11</xdr:col>
      <xdr:colOff>167328</xdr:colOff>
      <xdr:row>30</xdr:row>
      <xdr:rowOff>76846</xdr:rowOff>
    </xdr:to>
    <xdr:graphicFrame macro="">
      <xdr:nvGraphicFramePr>
        <xdr:cNvPr id="4" name="Chart 3">
          <a:extLst>
            <a:ext uri="{FF2B5EF4-FFF2-40B4-BE49-F238E27FC236}">
              <a16:creationId xmlns:a16="http://schemas.microsoft.com/office/drawing/2014/main" id="{3047677D-82BA-4B9B-B428-373DAF814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162373</xdr:colOff>
      <xdr:row>15</xdr:row>
      <xdr:rowOff>45609</xdr:rowOff>
    </xdr:from>
    <xdr:to>
      <xdr:col>19</xdr:col>
      <xdr:colOff>44600</xdr:colOff>
      <xdr:row>30</xdr:row>
      <xdr:rowOff>57402</xdr:rowOff>
    </xdr:to>
    <xdr:graphicFrame macro="">
      <xdr:nvGraphicFramePr>
        <xdr:cNvPr id="5" name="Chart 4">
          <a:extLst>
            <a:ext uri="{FF2B5EF4-FFF2-40B4-BE49-F238E27FC236}">
              <a16:creationId xmlns:a16="http://schemas.microsoft.com/office/drawing/2014/main" id="{8A33E914-64CE-4B16-A25F-C0549F075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51327</xdr:colOff>
      <xdr:row>0</xdr:row>
      <xdr:rowOff>0</xdr:rowOff>
    </xdr:from>
    <xdr:to>
      <xdr:col>26</xdr:col>
      <xdr:colOff>542636</xdr:colOff>
      <xdr:row>15</xdr:row>
      <xdr:rowOff>37353</xdr:rowOff>
    </xdr:to>
    <xdr:graphicFrame macro="">
      <xdr:nvGraphicFramePr>
        <xdr:cNvPr id="6" name="Chart 5">
          <a:extLst>
            <a:ext uri="{FF2B5EF4-FFF2-40B4-BE49-F238E27FC236}">
              <a16:creationId xmlns:a16="http://schemas.microsoft.com/office/drawing/2014/main" id="{C890F10C-C8AB-480E-9D89-8F27E948E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45106</xdr:colOff>
      <xdr:row>15</xdr:row>
      <xdr:rowOff>38880</xdr:rowOff>
    </xdr:from>
    <xdr:to>
      <xdr:col>26</xdr:col>
      <xdr:colOff>536415</xdr:colOff>
      <xdr:row>30</xdr:row>
      <xdr:rowOff>60652</xdr:rowOff>
    </xdr:to>
    <xdr:graphicFrame macro="">
      <xdr:nvGraphicFramePr>
        <xdr:cNvPr id="7" name="Chart 6">
          <a:extLst>
            <a:ext uri="{FF2B5EF4-FFF2-40B4-BE49-F238E27FC236}">
              <a16:creationId xmlns:a16="http://schemas.microsoft.com/office/drawing/2014/main" id="{6490C325-AE63-4764-8E30-7A7AF6761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xdr:row>
      <xdr:rowOff>120348</xdr:rowOff>
    </xdr:from>
    <xdr:to>
      <xdr:col>3</xdr:col>
      <xdr:colOff>8467</xdr:colOff>
      <xdr:row>25</xdr:row>
      <xdr:rowOff>111882</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4B93E00-41E0-8043-3110-5A03B5F154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1050399"/>
              <a:ext cx="1836497" cy="3711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68.36961134259" createdVersion="8" refreshedVersion="8" minRefreshableVersion="3" recordCount="12" xr:uid="{44615B7C-CD1E-42C9-9C8D-4F46D1E71E73}">
  <cacheSource type="worksheet">
    <worksheetSource name="CensusData"/>
  </cacheSource>
  <cacheFields count="12">
    <cacheField name="Month" numFmtId="0">
      <sharedItems count="12">
        <s v="January"/>
        <s v="February"/>
        <s v="March"/>
        <s v="April"/>
        <s v="May"/>
        <s v="June"/>
        <s v="July"/>
        <s v="August"/>
        <s v="September"/>
        <s v="October"/>
        <s v="November"/>
        <s v="December"/>
      </sharedItems>
    </cacheField>
    <cacheField name="Clients Served" numFmtId="0">
      <sharedItems containsSemiMixedTypes="0" containsString="0" containsNumber="1" containsInteger="1" minValue="0" maxValue="681"/>
    </cacheField>
    <cacheField name="Child Vaccines" numFmtId="0">
      <sharedItems containsSemiMixedTypes="0" containsString="0" containsNumber="1" containsInteger="1" minValue="0" maxValue="357"/>
    </cacheField>
    <cacheField name="TB Screening" numFmtId="0">
      <sharedItems containsSemiMixedTypes="0" containsString="0" containsNumber="1" containsInteger="1" minValue="0" maxValue="94"/>
    </cacheField>
    <cacheField name="Positive TB (Count)" numFmtId="0">
      <sharedItems containsSemiMixedTypes="0" containsString="0" containsNumber="1" containsInteger="1" minValue="0" maxValue="2"/>
    </cacheField>
    <cacheField name="Positive TB Notes" numFmtId="0">
      <sharedItems containsMixedTypes="1" containsNumber="1" containsInteger="1" minValue="0" maxValue="0"/>
    </cacheField>
    <cacheField name="Adult Vaccines" numFmtId="0">
      <sharedItems containsSemiMixedTypes="0" containsString="0" containsNumber="1" containsInteger="1" minValue="0" maxValue="287"/>
    </cacheField>
    <cacheField name="Infectious Disease Reports" numFmtId="0">
      <sharedItems containsSemiMixedTypes="0" containsString="0" containsNumber="1" containsInteger="1" minValue="0" maxValue="298"/>
    </cacheField>
    <cacheField name="Total Services" numFmtId="0">
      <sharedItems containsSemiMixedTypes="0" containsString="0" containsNumber="1" containsInteger="1" minValue="0" maxValue="1488"/>
    </cacheField>
    <cacheField name="PHC" numFmtId="0">
      <sharedItems containsSemiMixedTypes="0" containsString="0" containsNumber="1" containsInteger="1" minValue="0" maxValue="655"/>
    </cacheField>
    <cacheField name="Texas Health Steps" numFmtId="0">
      <sharedItems containsSemiMixedTypes="0" containsString="0" containsNumber="1" containsInteger="1" minValue="0" maxValue="78"/>
    </cacheField>
    <cacheField name="Women's Health" numFmtId="0">
      <sharedItems containsSemiMixedTypes="0" containsString="0" containsNumber="1" containsInteger="1" minValue="0" maxValue="103"/>
    </cacheField>
  </cacheFields>
  <extLst>
    <ext xmlns:x14="http://schemas.microsoft.com/office/spreadsheetml/2009/9/main" uri="{725AE2AE-9491-48be-B2B4-4EB974FC3084}">
      <x14:pivotCacheDefinition pivotCacheId="2005215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364"/>
    <n v="178"/>
    <n v="21"/>
    <n v="1"/>
    <s v="1 Neg and 1 Borderline"/>
    <n v="33"/>
    <n v="298"/>
    <n v="894"/>
    <n v="505"/>
    <n v="61"/>
    <n v="82"/>
  </r>
  <r>
    <x v="1"/>
    <n v="348"/>
    <n v="228"/>
    <n v="33"/>
    <n v="0"/>
    <n v="0"/>
    <n v="22"/>
    <n v="252"/>
    <n v="883"/>
    <n v="485"/>
    <n v="63"/>
    <n v="78"/>
  </r>
  <r>
    <x v="2"/>
    <n v="455"/>
    <n v="239"/>
    <n v="28"/>
    <n v="0"/>
    <s v="2 neg blood results"/>
    <n v="22"/>
    <n v="236"/>
    <n v="982"/>
    <n v="481"/>
    <n v="78"/>
    <n v="82"/>
  </r>
  <r>
    <x v="3"/>
    <n v="510"/>
    <n v="330"/>
    <n v="52"/>
    <n v="2"/>
    <s v="5: (+ 3 blood -) and 2: (+)"/>
    <n v="24"/>
    <n v="134"/>
    <n v="1055"/>
    <n v="569"/>
    <n v="50"/>
    <n v="99"/>
  </r>
  <r>
    <x v="4"/>
    <n v="0"/>
    <n v="0"/>
    <n v="0"/>
    <n v="0"/>
    <s v="N/A"/>
    <n v="0"/>
    <n v="0"/>
    <n v="0"/>
    <n v="0"/>
    <n v="0"/>
    <n v="0"/>
  </r>
  <r>
    <x v="5"/>
    <n v="0"/>
    <n v="0"/>
    <n v="0"/>
    <n v="0"/>
    <s v="N/A"/>
    <n v="0"/>
    <n v="0"/>
    <n v="0"/>
    <n v="0"/>
    <n v="0"/>
    <n v="0"/>
  </r>
  <r>
    <x v="6"/>
    <n v="0"/>
    <n v="0"/>
    <n v="0"/>
    <n v="0"/>
    <s v="N/A"/>
    <n v="0"/>
    <n v="0"/>
    <n v="0"/>
    <n v="0"/>
    <n v="0"/>
    <n v="0"/>
  </r>
  <r>
    <x v="7"/>
    <n v="0"/>
    <n v="0"/>
    <n v="0"/>
    <n v="0"/>
    <s v="N/A"/>
    <n v="0"/>
    <n v="0"/>
    <n v="0"/>
    <n v="0"/>
    <n v="0"/>
    <n v="0"/>
  </r>
  <r>
    <x v="8"/>
    <n v="523"/>
    <n v="357"/>
    <n v="93"/>
    <n v="0"/>
    <s v="3 Neg Tspot"/>
    <n v="100"/>
    <n v="101"/>
    <n v="1084"/>
    <n v="567"/>
    <n v="58"/>
    <n v="97"/>
  </r>
  <r>
    <x v="9"/>
    <n v="681"/>
    <n v="343"/>
    <n v="94"/>
    <n v="1"/>
    <s v="1 Neg and 1 Pos Tspot"/>
    <n v="287"/>
    <n v="81"/>
    <n v="1488"/>
    <n v="655"/>
    <n v="70"/>
    <n v="103"/>
  </r>
  <r>
    <x v="10"/>
    <n v="417"/>
    <n v="265"/>
    <n v="13"/>
    <n v="0"/>
    <s v="None"/>
    <n v="76"/>
    <n v="63"/>
    <n v="834"/>
    <n v="514"/>
    <n v="54"/>
    <n v="78"/>
  </r>
  <r>
    <x v="11"/>
    <n v="280"/>
    <n v="139"/>
    <n v="31"/>
    <n v="1"/>
    <s v="1+ referred to Tyler"/>
    <n v="40"/>
    <n v="175"/>
    <n v="666"/>
    <n v="528"/>
    <n v="41"/>
    <n v="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E243F3-8188-4EF5-8A20-CAA1B58E78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16" firstHeaderRow="0" firstDataRow="1" firstDataCol="1"/>
  <pivotFields count="12">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Women's Health Services" fld="11" baseField="0" baseItem="0"/>
    <dataField name="Texas Health Steps' Services" fld="10" baseField="0" baseItem="0"/>
    <dataField name="PHC Services" fld="9" baseField="0" baseItem="0"/>
  </dataFields>
  <chartFormats count="3">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CE37F-B794-40FA-BFC6-D02D31667CDE}" name="PivotTable5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16" firstHeaderRow="0" firstDataRow="1" firstDataCol="1"/>
  <pivotFields count="12">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showAll="0"/>
    <pivotField dataField="1" showAll="0"/>
    <pivotField dataField="1"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Number of Clients Served" fld="1" baseField="0" baseItem="0"/>
    <dataField name="Number of Infectious Disease Reports" fld="7" baseField="0" baseItem="0"/>
    <dataField name="Number of Child Vaccines" fld="2" baseField="0" baseItem="0"/>
    <dataField name="Number of Adult Vaccines" fld="6" baseField="0" baseItem="0"/>
    <dataField name="TB Screenings" fld="3" baseField="0" baseItem="0"/>
    <dataField name="Positive TB Cases" fld="4"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 chart="7" format="15" series="1">
      <pivotArea type="data" outline="0" fieldPosition="0">
        <references count="1">
          <reference field="4294967294" count="1" selected="0">
            <x v="3"/>
          </reference>
        </references>
      </pivotArea>
    </chartFormat>
    <chartFormat chart="7" format="16" series="1">
      <pivotArea type="data" outline="0" fieldPosition="0">
        <references count="1">
          <reference field="4294967294" count="1" selected="0">
            <x v="4"/>
          </reference>
        </references>
      </pivotArea>
    </chartFormat>
    <chartFormat chart="7"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A47D05-00FE-4006-BEE5-6D3733035731}" name="PivotTable5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pivotFields count="12">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B Screenings" fld="3" baseField="0" baseItem="0"/>
    <dataField name="Positive TB Cases" fld="4" baseField="0" baseItem="0"/>
  </dataFields>
  <chartFormats count="2">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F590F3-16CD-4E7C-8BC8-AA51624A5DE5}" name="PivotTable5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2">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Number of Infectious Disease Reports"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02590D-9C07-4FC1-9B23-0846059685F1}" name="PivotTable5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12">
    <pivotField axis="axisRow" showAll="0">
      <items count="13">
        <item x="0"/>
        <item x="1"/>
        <item x="2"/>
        <item x="3"/>
        <item x="4"/>
        <item x="5"/>
        <item x="6"/>
        <item x="7"/>
        <item x="8"/>
        <item x="9"/>
        <item x="10"/>
        <item x="11"/>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Number of Adult Vaccines" fld="6" baseField="0" baseItem="0"/>
    <dataField name="Number of Child Vaccines" fld="2"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ADE588-FFC6-4131-B1CE-6441BF139E23}" name="PivotTable5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6" firstHeaderRow="0" firstDataRow="1" firstDataCol="1"/>
  <pivotFields count="12">
    <pivotField axis="axisRow" showAll="0" sortType="descending" nonAutoSortDefault="1">
      <items count="13">
        <item x="11"/>
        <item x="10"/>
        <item x="9"/>
        <item x="8"/>
        <item x="7"/>
        <item x="6"/>
        <item x="5"/>
        <item x="4"/>
        <item x="3"/>
        <item x="2"/>
        <item x="1"/>
        <item x="0"/>
        <item t="default"/>
      </items>
    </pivotField>
    <pivotField dataField="1"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Number of Clients Served" fld="1" baseField="0" baseItem="0"/>
    <dataField name="Number of Total Services" fld="8"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FE3FB3D-6459-4C39-9FC5-DACFDFBC1D0A}" sourceName="Month">
  <pivotTables>
    <pivotTable tabId="18" name="PivotTable58"/>
    <pivotTable tabId="13" name="PivotTable53"/>
    <pivotTable tabId="15" name="PivotTable55"/>
    <pivotTable tabId="16" name="PivotTable56"/>
    <pivotTable tabId="14" name="PivotTable54"/>
    <pivotTable tabId="20" name="PivotTable2"/>
  </pivotTables>
  <data>
    <tabular pivotCacheId="200521514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66F1303-FF6C-4A82-A5AB-AED912CF7BE7}"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94F0AC-5B78-4E82-857D-93F6A186B1D9}" name="CensusData" displayName="CensusData" ref="A1:L13" totalsRowShown="0" headerRowDxfId="13" dataDxfId="12">
  <autoFilter ref="A1:L13" xr:uid="{C294F0AC-5B78-4E82-857D-93F6A186B1D9}"/>
  <tableColumns count="12">
    <tableColumn id="1" xr3:uid="{952F86B6-C152-41E5-A7C3-269400778EFF}" name="Month" dataDxfId="11"/>
    <tableColumn id="2" xr3:uid="{C3C01AD8-9BF6-4BE6-9132-B2C8285CA4B6}" name="Clients Served" dataDxfId="10"/>
    <tableColumn id="3" xr3:uid="{53ADB6C2-AA6E-4062-9A19-E0C86C7C8A76}" name="Child Vaccines" dataDxfId="9"/>
    <tableColumn id="4" xr3:uid="{A35655CE-9691-47CC-8DBC-7BB14E5313DA}" name="TB Screening" dataDxfId="8"/>
    <tableColumn id="5" xr3:uid="{2E4D7DBA-4CEA-452B-B2CB-75D748405E60}" name="Positive TB (Count)" dataDxfId="7"/>
    <tableColumn id="6" xr3:uid="{507CBEFC-40DA-47CC-844C-1BAF9D5D7B26}" name="Positive TB Notes" dataDxfId="6"/>
    <tableColumn id="7" xr3:uid="{17AF53E7-B554-4226-8692-F413DF05556A}" name="Adult Vaccines" dataDxfId="5"/>
    <tableColumn id="8" xr3:uid="{82C37E6E-3CE9-4C0E-8624-B58FE5B98908}" name="Infectious Disease Reports" dataDxfId="4"/>
    <tableColumn id="9" xr3:uid="{4EDE2760-6291-466A-AD6C-37D70740C948}" name="Total Services" dataDxfId="3"/>
    <tableColumn id="10" xr3:uid="{B5929145-60AB-4E61-A38E-5C23EDCB06CB}" name="PHC" dataDxfId="2"/>
    <tableColumn id="11" xr3:uid="{C280FB7A-DB5D-4B06-9965-559542949D72}" name="Texas Health Steps" dataDxfId="1"/>
    <tableColumn id="12" xr3:uid="{013DE2CB-8B8E-4769-B4C4-5F2061A82119}" name="Women's Healt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0823-B370-471D-9350-B96CFF429EA3}">
  <dimension ref="A1"/>
  <sheetViews>
    <sheetView showGridLines="0" zoomScale="75" workbookViewId="0">
      <selection activeCell="B5" sqref="B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17"/>
  <sheetViews>
    <sheetView workbookViewId="0">
      <selection activeCell="J11" sqref="J11"/>
    </sheetView>
  </sheetViews>
  <sheetFormatPr defaultRowHeight="14.5" x14ac:dyDescent="0.35"/>
  <cols>
    <col min="1" max="1" width="24.6328125" style="2" bestFit="1" customWidth="1"/>
    <col min="2" max="2" width="8.7265625" style="2"/>
    <col min="3" max="3" width="13.81640625" style="2" bestFit="1" customWidth="1"/>
    <col min="4" max="4" width="11.453125" style="2" bestFit="1" customWidth="1"/>
    <col min="5" max="5" width="9.54296875" style="2" bestFit="1" customWidth="1"/>
    <col min="6" max="6" width="10.1796875" style="2" bestFit="1" customWidth="1"/>
    <col min="7" max="7" width="10.90625" style="2" bestFit="1" customWidth="1"/>
    <col min="8" max="8" width="8.7265625" style="2"/>
    <col min="9" max="9" width="13.6328125" style="2" bestFit="1" customWidth="1"/>
    <col min="10" max="10" width="17.81640625" style="2" bestFit="1" customWidth="1"/>
    <col min="11" max="16384" width="8.7265625" style="2"/>
  </cols>
  <sheetData>
    <row r="3" spans="1:14" x14ac:dyDescent="0.35">
      <c r="C3" s="2" t="s">
        <v>0</v>
      </c>
      <c r="D3" s="2" t="s">
        <v>1</v>
      </c>
      <c r="E3" s="2" t="s">
        <v>2</v>
      </c>
      <c r="F3" s="2" t="s">
        <v>3</v>
      </c>
      <c r="G3" s="2" t="s">
        <v>4</v>
      </c>
      <c r="H3" s="2" t="s">
        <v>5</v>
      </c>
      <c r="I3" s="2" t="s">
        <v>6</v>
      </c>
      <c r="J3" s="2" t="s">
        <v>7</v>
      </c>
      <c r="K3" s="2" t="s">
        <v>8</v>
      </c>
      <c r="L3" s="2" t="s">
        <v>9</v>
      </c>
      <c r="M3" s="2" t="s">
        <v>10</v>
      </c>
      <c r="N3" s="2" t="s">
        <v>11</v>
      </c>
    </row>
    <row r="5" spans="1:14" x14ac:dyDescent="0.35">
      <c r="A5" s="2" t="s">
        <v>12</v>
      </c>
      <c r="C5" s="2">
        <v>523</v>
      </c>
      <c r="D5" s="2">
        <v>681</v>
      </c>
      <c r="E5" s="2">
        <v>417</v>
      </c>
      <c r="F5" s="2">
        <v>280</v>
      </c>
      <c r="G5" s="2">
        <v>364</v>
      </c>
      <c r="H5" s="2">
        <v>348</v>
      </c>
      <c r="I5" s="2">
        <v>455</v>
      </c>
      <c r="J5" s="2">
        <v>510</v>
      </c>
    </row>
    <row r="7" spans="1:14" x14ac:dyDescent="0.35">
      <c r="A7" s="2" t="s">
        <v>13</v>
      </c>
      <c r="C7" s="2">
        <v>357</v>
      </c>
      <c r="D7" s="2">
        <v>343</v>
      </c>
      <c r="E7" s="2">
        <v>265</v>
      </c>
      <c r="F7" s="2">
        <v>139</v>
      </c>
      <c r="G7" s="2">
        <v>178</v>
      </c>
      <c r="H7" s="2">
        <v>228</v>
      </c>
      <c r="I7" s="2">
        <v>239</v>
      </c>
      <c r="J7" s="2">
        <v>330</v>
      </c>
    </row>
    <row r="9" spans="1:14" x14ac:dyDescent="0.35">
      <c r="A9" s="2" t="s">
        <v>14</v>
      </c>
      <c r="C9" s="2">
        <v>93</v>
      </c>
      <c r="D9" s="2">
        <v>94</v>
      </c>
      <c r="E9" s="2">
        <v>13</v>
      </c>
      <c r="F9" s="2">
        <v>31</v>
      </c>
      <c r="G9" s="2">
        <v>21</v>
      </c>
      <c r="H9" s="2">
        <v>33</v>
      </c>
      <c r="I9" s="2">
        <v>28</v>
      </c>
      <c r="J9" s="2">
        <v>52</v>
      </c>
    </row>
    <row r="11" spans="1:14" ht="43.5" x14ac:dyDescent="0.35">
      <c r="A11" s="2" t="s">
        <v>15</v>
      </c>
      <c r="C11" s="2" t="s">
        <v>21</v>
      </c>
      <c r="D11" s="3" t="s">
        <v>32</v>
      </c>
      <c r="E11" s="2" t="s">
        <v>19</v>
      </c>
      <c r="F11" s="3" t="s">
        <v>22</v>
      </c>
      <c r="G11" s="3" t="s">
        <v>23</v>
      </c>
      <c r="H11" s="2">
        <v>0</v>
      </c>
      <c r="I11" s="3" t="s">
        <v>24</v>
      </c>
      <c r="J11" s="3" t="s">
        <v>25</v>
      </c>
    </row>
    <row r="12" spans="1:14" x14ac:dyDescent="0.35">
      <c r="G12" s="3"/>
    </row>
    <row r="13" spans="1:14" x14ac:dyDescent="0.35">
      <c r="A13" s="2" t="s">
        <v>16</v>
      </c>
      <c r="C13" s="2">
        <v>100</v>
      </c>
      <c r="D13" s="2">
        <v>287</v>
      </c>
      <c r="E13" s="2">
        <v>76</v>
      </c>
      <c r="F13" s="2">
        <v>40</v>
      </c>
      <c r="G13" s="2">
        <v>33</v>
      </c>
      <c r="H13" s="2">
        <v>22</v>
      </c>
      <c r="I13" s="2">
        <v>22</v>
      </c>
      <c r="J13" s="2">
        <v>24</v>
      </c>
    </row>
    <row r="15" spans="1:14" x14ac:dyDescent="0.35">
      <c r="A15" s="2" t="s">
        <v>17</v>
      </c>
      <c r="C15" s="2">
        <v>101</v>
      </c>
      <c r="D15" s="2">
        <v>81</v>
      </c>
      <c r="E15" s="2">
        <v>63</v>
      </c>
      <c r="F15" s="2">
        <v>175</v>
      </c>
      <c r="G15" s="2">
        <v>298</v>
      </c>
      <c r="H15" s="2">
        <v>252</v>
      </c>
      <c r="I15" s="2">
        <v>236</v>
      </c>
      <c r="J15" s="2">
        <v>134</v>
      </c>
    </row>
    <row r="17" spans="1:10" x14ac:dyDescent="0.35">
      <c r="A17" s="2" t="s">
        <v>18</v>
      </c>
      <c r="C17" s="4">
        <v>1084</v>
      </c>
      <c r="D17" s="4">
        <v>1488</v>
      </c>
      <c r="E17" s="4">
        <v>834</v>
      </c>
      <c r="F17" s="2" t="s">
        <v>20</v>
      </c>
      <c r="G17" s="4">
        <v>894</v>
      </c>
      <c r="H17" s="4">
        <v>883</v>
      </c>
      <c r="I17" s="4">
        <v>982</v>
      </c>
      <c r="J17" s="4">
        <v>1055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DB9B8-D8A3-4FB4-9571-359F07892C24}">
  <dimension ref="A3:D16"/>
  <sheetViews>
    <sheetView workbookViewId="0">
      <selection activeCell="D3" sqref="D3"/>
    </sheetView>
  </sheetViews>
  <sheetFormatPr defaultRowHeight="14.5" x14ac:dyDescent="0.35"/>
  <cols>
    <col min="1" max="1" width="12.36328125" bestFit="1" customWidth="1"/>
    <col min="2" max="2" width="22.08984375" bestFit="1" customWidth="1"/>
    <col min="3" max="3" width="24.36328125" bestFit="1" customWidth="1"/>
    <col min="4" max="4" width="11.36328125" bestFit="1" customWidth="1"/>
  </cols>
  <sheetData>
    <row r="3" spans="1:4" x14ac:dyDescent="0.35">
      <c r="A3" s="5" t="s">
        <v>37</v>
      </c>
      <c r="B3" t="s">
        <v>43</v>
      </c>
      <c r="C3" t="s">
        <v>44</v>
      </c>
      <c r="D3" t="s">
        <v>45</v>
      </c>
    </row>
    <row r="4" spans="1:4" x14ac:dyDescent="0.35">
      <c r="A4" s="6" t="s">
        <v>4</v>
      </c>
      <c r="B4">
        <v>82</v>
      </c>
      <c r="C4">
        <v>61</v>
      </c>
      <c r="D4">
        <v>505</v>
      </c>
    </row>
    <row r="5" spans="1:4" x14ac:dyDescent="0.35">
      <c r="A5" s="6" t="s">
        <v>5</v>
      </c>
      <c r="B5">
        <v>78</v>
      </c>
      <c r="C5">
        <v>63</v>
      </c>
      <c r="D5">
        <v>485</v>
      </c>
    </row>
    <row r="6" spans="1:4" x14ac:dyDescent="0.35">
      <c r="A6" s="6" t="s">
        <v>6</v>
      </c>
      <c r="B6">
        <v>82</v>
      </c>
      <c r="C6">
        <v>78</v>
      </c>
      <c r="D6">
        <v>481</v>
      </c>
    </row>
    <row r="7" spans="1:4" x14ac:dyDescent="0.35">
      <c r="A7" s="6" t="s">
        <v>7</v>
      </c>
      <c r="B7">
        <v>99</v>
      </c>
      <c r="C7">
        <v>50</v>
      </c>
      <c r="D7">
        <v>569</v>
      </c>
    </row>
    <row r="8" spans="1:4" x14ac:dyDescent="0.35">
      <c r="A8" s="6" t="s">
        <v>8</v>
      </c>
      <c r="B8">
        <v>0</v>
      </c>
      <c r="C8">
        <v>0</v>
      </c>
      <c r="D8">
        <v>0</v>
      </c>
    </row>
    <row r="9" spans="1:4" x14ac:dyDescent="0.35">
      <c r="A9" s="6" t="s">
        <v>9</v>
      </c>
      <c r="B9">
        <v>0</v>
      </c>
      <c r="C9">
        <v>0</v>
      </c>
      <c r="D9">
        <v>0</v>
      </c>
    </row>
    <row r="10" spans="1:4" x14ac:dyDescent="0.35">
      <c r="A10" s="6" t="s">
        <v>10</v>
      </c>
      <c r="B10">
        <v>0</v>
      </c>
      <c r="C10">
        <v>0</v>
      </c>
      <c r="D10">
        <v>0</v>
      </c>
    </row>
    <row r="11" spans="1:4" x14ac:dyDescent="0.35">
      <c r="A11" s="6" t="s">
        <v>11</v>
      </c>
      <c r="B11">
        <v>0</v>
      </c>
      <c r="C11">
        <v>0</v>
      </c>
      <c r="D11">
        <v>0</v>
      </c>
    </row>
    <row r="12" spans="1:4" x14ac:dyDescent="0.35">
      <c r="A12" s="6" t="s">
        <v>0</v>
      </c>
      <c r="B12">
        <v>97</v>
      </c>
      <c r="C12">
        <v>58</v>
      </c>
      <c r="D12">
        <v>567</v>
      </c>
    </row>
    <row r="13" spans="1:4" x14ac:dyDescent="0.35">
      <c r="A13" s="6" t="s">
        <v>1</v>
      </c>
      <c r="B13">
        <v>103</v>
      </c>
      <c r="C13">
        <v>70</v>
      </c>
      <c r="D13">
        <v>655</v>
      </c>
    </row>
    <row r="14" spans="1:4" x14ac:dyDescent="0.35">
      <c r="A14" s="6" t="s">
        <v>2</v>
      </c>
      <c r="B14">
        <v>78</v>
      </c>
      <c r="C14">
        <v>54</v>
      </c>
      <c r="D14">
        <v>514</v>
      </c>
    </row>
    <row r="15" spans="1:4" x14ac:dyDescent="0.35">
      <c r="A15" s="6" t="s">
        <v>3</v>
      </c>
      <c r="B15">
        <v>65</v>
      </c>
      <c r="C15">
        <v>41</v>
      </c>
      <c r="D15">
        <v>528</v>
      </c>
    </row>
    <row r="16" spans="1:4" x14ac:dyDescent="0.35">
      <c r="A16" s="6" t="s">
        <v>38</v>
      </c>
      <c r="B16">
        <v>684</v>
      </c>
      <c r="C16">
        <v>475</v>
      </c>
      <c r="D16">
        <v>4304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547A-C740-4FDF-9EA1-195312262D6E}">
  <dimension ref="A1:L13"/>
  <sheetViews>
    <sheetView tabSelected="1" zoomScale="75" workbookViewId="0">
      <selection activeCell="B8" sqref="B8"/>
    </sheetView>
  </sheetViews>
  <sheetFormatPr defaultRowHeight="14.5" x14ac:dyDescent="0.35"/>
  <cols>
    <col min="1" max="1" width="9.90625" style="2" bestFit="1" customWidth="1"/>
    <col min="2" max="2" width="14.54296875" style="2" customWidth="1"/>
    <col min="3" max="3" width="14.6328125" style="2" customWidth="1"/>
    <col min="4" max="4" width="13.36328125" style="2" customWidth="1"/>
    <col min="5" max="5" width="18.7265625" style="2" customWidth="1"/>
    <col min="6" max="6" width="21.54296875" style="2" bestFit="1" customWidth="1"/>
    <col min="7" max="7" width="15" style="2" customWidth="1"/>
    <col min="8" max="8" width="24.90625" style="2" customWidth="1"/>
    <col min="9" max="9" width="14.1796875" style="2" customWidth="1"/>
    <col min="10" max="10" width="8.7265625" style="2"/>
    <col min="11" max="11" width="21.1796875" style="2" bestFit="1" customWidth="1"/>
    <col min="12" max="12" width="19.36328125" style="2" bestFit="1" customWidth="1"/>
    <col min="13" max="16384" width="8.7265625" style="2"/>
  </cols>
  <sheetData>
    <row r="1" spans="1:12" s="1" customFormat="1" x14ac:dyDescent="0.35">
      <c r="A1" s="1" t="s">
        <v>26</v>
      </c>
      <c r="B1" s="1" t="s">
        <v>12</v>
      </c>
      <c r="C1" s="1" t="s">
        <v>27</v>
      </c>
      <c r="D1" s="1" t="s">
        <v>14</v>
      </c>
      <c r="E1" s="1" t="s">
        <v>28</v>
      </c>
      <c r="F1" s="1" t="s">
        <v>29</v>
      </c>
      <c r="G1" s="1" t="s">
        <v>34</v>
      </c>
      <c r="H1" s="1" t="s">
        <v>35</v>
      </c>
      <c r="I1" s="1" t="s">
        <v>18</v>
      </c>
      <c r="J1" s="1" t="s">
        <v>40</v>
      </c>
      <c r="K1" s="1" t="s">
        <v>41</v>
      </c>
      <c r="L1" s="1" t="s">
        <v>42</v>
      </c>
    </row>
    <row r="2" spans="1:12" x14ac:dyDescent="0.35">
      <c r="A2" s="2" t="s">
        <v>4</v>
      </c>
      <c r="B2" s="2">
        <v>364</v>
      </c>
      <c r="C2" s="2">
        <v>178</v>
      </c>
      <c r="D2" s="2">
        <v>21</v>
      </c>
      <c r="E2" s="2">
        <v>1</v>
      </c>
      <c r="F2" s="2" t="s">
        <v>31</v>
      </c>
      <c r="G2" s="2">
        <v>33</v>
      </c>
      <c r="H2" s="2">
        <v>298</v>
      </c>
      <c r="I2" s="2">
        <v>894</v>
      </c>
      <c r="J2" s="2">
        <v>505</v>
      </c>
      <c r="K2" s="2">
        <v>61</v>
      </c>
      <c r="L2" s="2">
        <v>82</v>
      </c>
    </row>
    <row r="3" spans="1:12" x14ac:dyDescent="0.35">
      <c r="A3" s="2" t="s">
        <v>5</v>
      </c>
      <c r="B3" s="2">
        <v>348</v>
      </c>
      <c r="C3" s="2">
        <v>228</v>
      </c>
      <c r="D3" s="2">
        <v>33</v>
      </c>
      <c r="E3" s="2">
        <v>0</v>
      </c>
      <c r="F3" s="2">
        <v>0</v>
      </c>
      <c r="G3" s="2">
        <v>22</v>
      </c>
      <c r="H3" s="2">
        <v>252</v>
      </c>
      <c r="I3" s="2">
        <v>883</v>
      </c>
      <c r="J3" s="2">
        <v>485</v>
      </c>
      <c r="K3" s="2">
        <v>63</v>
      </c>
      <c r="L3" s="2">
        <v>78</v>
      </c>
    </row>
    <row r="4" spans="1:12" x14ac:dyDescent="0.35">
      <c r="A4" s="2" t="s">
        <v>6</v>
      </c>
      <c r="B4" s="2">
        <v>455</v>
      </c>
      <c r="C4" s="2">
        <v>239</v>
      </c>
      <c r="D4" s="2">
        <v>28</v>
      </c>
      <c r="E4" s="2">
        <v>0</v>
      </c>
      <c r="F4" s="2" t="s">
        <v>33</v>
      </c>
      <c r="G4" s="2">
        <v>22</v>
      </c>
      <c r="H4" s="2">
        <v>236</v>
      </c>
      <c r="I4" s="2">
        <v>982</v>
      </c>
      <c r="J4" s="2">
        <v>481</v>
      </c>
      <c r="K4" s="2">
        <v>78</v>
      </c>
      <c r="L4" s="2">
        <v>82</v>
      </c>
    </row>
    <row r="5" spans="1:12" x14ac:dyDescent="0.35">
      <c r="A5" s="2" t="s">
        <v>7</v>
      </c>
      <c r="B5" s="2">
        <v>510</v>
      </c>
      <c r="C5" s="2">
        <v>330</v>
      </c>
      <c r="D5" s="2">
        <v>52</v>
      </c>
      <c r="E5" s="2">
        <v>2</v>
      </c>
      <c r="F5" s="2" t="s">
        <v>25</v>
      </c>
      <c r="G5" s="2">
        <v>24</v>
      </c>
      <c r="H5" s="2">
        <v>134</v>
      </c>
      <c r="I5" s="2">
        <v>1055</v>
      </c>
      <c r="J5" s="2">
        <v>569</v>
      </c>
      <c r="K5" s="2">
        <v>50</v>
      </c>
      <c r="L5" s="2">
        <v>99</v>
      </c>
    </row>
    <row r="6" spans="1:12" x14ac:dyDescent="0.35">
      <c r="A6" s="2" t="s">
        <v>8</v>
      </c>
      <c r="B6" s="2">
        <v>0</v>
      </c>
      <c r="C6" s="2">
        <v>0</v>
      </c>
      <c r="D6" s="2">
        <v>0</v>
      </c>
      <c r="E6" s="2">
        <v>0</v>
      </c>
      <c r="F6" s="2" t="s">
        <v>39</v>
      </c>
      <c r="G6" s="2">
        <v>0</v>
      </c>
      <c r="H6" s="2">
        <v>0</v>
      </c>
      <c r="I6" s="2">
        <v>0</v>
      </c>
      <c r="J6" s="2">
        <v>0</v>
      </c>
      <c r="K6" s="2">
        <v>0</v>
      </c>
      <c r="L6" s="2">
        <v>0</v>
      </c>
    </row>
    <row r="7" spans="1:12" x14ac:dyDescent="0.35">
      <c r="A7" s="2" t="s">
        <v>9</v>
      </c>
      <c r="B7" s="2">
        <v>0</v>
      </c>
      <c r="C7" s="2">
        <v>0</v>
      </c>
      <c r="D7" s="2">
        <v>0</v>
      </c>
      <c r="E7" s="2">
        <v>0</v>
      </c>
      <c r="F7" s="2" t="s">
        <v>39</v>
      </c>
      <c r="G7" s="2">
        <v>0</v>
      </c>
      <c r="H7" s="2">
        <v>0</v>
      </c>
      <c r="I7" s="2">
        <v>0</v>
      </c>
      <c r="J7" s="2">
        <v>0</v>
      </c>
      <c r="K7" s="2">
        <v>0</v>
      </c>
      <c r="L7" s="2">
        <v>0</v>
      </c>
    </row>
    <row r="8" spans="1:12" x14ac:dyDescent="0.35">
      <c r="A8" s="2" t="s">
        <v>10</v>
      </c>
      <c r="B8" s="2">
        <v>0</v>
      </c>
      <c r="C8" s="2">
        <v>0</v>
      </c>
      <c r="D8" s="2">
        <v>0</v>
      </c>
      <c r="E8" s="2">
        <v>0</v>
      </c>
      <c r="F8" s="2" t="s">
        <v>39</v>
      </c>
      <c r="G8" s="2">
        <v>0</v>
      </c>
      <c r="H8" s="2">
        <v>0</v>
      </c>
      <c r="I8" s="2">
        <v>0</v>
      </c>
      <c r="J8" s="2">
        <v>0</v>
      </c>
      <c r="K8" s="2">
        <v>0</v>
      </c>
      <c r="L8" s="2">
        <v>0</v>
      </c>
    </row>
    <row r="9" spans="1:12" x14ac:dyDescent="0.35">
      <c r="A9" s="2" t="s">
        <v>11</v>
      </c>
      <c r="B9" s="2">
        <v>0</v>
      </c>
      <c r="C9" s="2">
        <v>0</v>
      </c>
      <c r="D9" s="2">
        <v>0</v>
      </c>
      <c r="E9" s="2">
        <v>0</v>
      </c>
      <c r="F9" s="2" t="s">
        <v>39</v>
      </c>
      <c r="G9" s="2">
        <v>0</v>
      </c>
      <c r="H9" s="2">
        <v>0</v>
      </c>
      <c r="I9" s="2">
        <v>0</v>
      </c>
      <c r="J9" s="2">
        <v>0</v>
      </c>
      <c r="K9" s="2">
        <v>0</v>
      </c>
      <c r="L9" s="2">
        <v>0</v>
      </c>
    </row>
    <row r="10" spans="1:12" x14ac:dyDescent="0.35">
      <c r="A10" s="2" t="s">
        <v>0</v>
      </c>
      <c r="B10" s="2">
        <v>523</v>
      </c>
      <c r="C10" s="2">
        <v>357</v>
      </c>
      <c r="D10" s="2">
        <v>93</v>
      </c>
      <c r="E10" s="2">
        <v>0</v>
      </c>
      <c r="F10" s="2" t="s">
        <v>36</v>
      </c>
      <c r="G10" s="2">
        <v>100</v>
      </c>
      <c r="H10" s="2">
        <v>101</v>
      </c>
      <c r="I10" s="2">
        <v>1084</v>
      </c>
      <c r="J10" s="2">
        <v>567</v>
      </c>
      <c r="K10" s="2">
        <v>58</v>
      </c>
      <c r="L10" s="2">
        <v>97</v>
      </c>
    </row>
    <row r="11" spans="1:12" x14ac:dyDescent="0.35">
      <c r="A11" s="2" t="s">
        <v>1</v>
      </c>
      <c r="B11" s="2">
        <v>681</v>
      </c>
      <c r="C11" s="2">
        <v>343</v>
      </c>
      <c r="D11" s="2">
        <v>94</v>
      </c>
      <c r="E11" s="2">
        <v>1</v>
      </c>
      <c r="F11" s="2" t="s">
        <v>30</v>
      </c>
      <c r="G11" s="2">
        <v>287</v>
      </c>
      <c r="H11" s="2">
        <v>81</v>
      </c>
      <c r="I11" s="2">
        <v>1488</v>
      </c>
      <c r="J11" s="2">
        <v>655</v>
      </c>
      <c r="K11" s="2">
        <v>70</v>
      </c>
      <c r="L11" s="2">
        <v>103</v>
      </c>
    </row>
    <row r="12" spans="1:12" x14ac:dyDescent="0.35">
      <c r="A12" s="2" t="s">
        <v>2</v>
      </c>
      <c r="B12" s="2">
        <v>417</v>
      </c>
      <c r="C12" s="2">
        <v>265</v>
      </c>
      <c r="D12" s="2">
        <v>13</v>
      </c>
      <c r="E12" s="2">
        <v>0</v>
      </c>
      <c r="F12" s="2" t="s">
        <v>19</v>
      </c>
      <c r="G12" s="2">
        <v>76</v>
      </c>
      <c r="H12" s="2">
        <v>63</v>
      </c>
      <c r="I12" s="2">
        <v>834</v>
      </c>
      <c r="J12" s="2">
        <v>514</v>
      </c>
      <c r="K12" s="2">
        <v>54</v>
      </c>
      <c r="L12" s="2">
        <v>78</v>
      </c>
    </row>
    <row r="13" spans="1:12" x14ac:dyDescent="0.35">
      <c r="A13" s="2" t="s">
        <v>3</v>
      </c>
      <c r="B13" s="2">
        <v>280</v>
      </c>
      <c r="C13" s="2">
        <v>139</v>
      </c>
      <c r="D13" s="2">
        <v>31</v>
      </c>
      <c r="E13" s="2">
        <v>1</v>
      </c>
      <c r="F13" s="2" t="s">
        <v>22</v>
      </c>
      <c r="G13" s="2">
        <v>40</v>
      </c>
      <c r="H13" s="2">
        <v>175</v>
      </c>
      <c r="I13" s="2">
        <v>666</v>
      </c>
      <c r="J13" s="2">
        <v>528</v>
      </c>
      <c r="K13" s="2">
        <v>41</v>
      </c>
      <c r="L13" s="2">
        <v>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FB3A-69E9-4EEA-A475-4DBFF762CCBD}">
  <dimension ref="A3:G16"/>
  <sheetViews>
    <sheetView workbookViewId="0">
      <selection activeCell="C3" sqref="C3"/>
    </sheetView>
  </sheetViews>
  <sheetFormatPr defaultRowHeight="14.5" x14ac:dyDescent="0.35"/>
  <cols>
    <col min="1" max="1" width="12.36328125" bestFit="1" customWidth="1"/>
    <col min="2" max="2" width="22.26953125" bestFit="1" customWidth="1"/>
    <col min="3" max="3" width="32.81640625" bestFit="1" customWidth="1"/>
    <col min="4" max="4" width="22.36328125" bestFit="1" customWidth="1"/>
    <col min="5" max="5" width="22.7265625" bestFit="1" customWidth="1"/>
    <col min="6" max="6" width="12.1796875" bestFit="1" customWidth="1"/>
    <col min="7" max="7" width="15.1796875" bestFit="1" customWidth="1"/>
  </cols>
  <sheetData>
    <row r="3" spans="1:7" x14ac:dyDescent="0.35">
      <c r="A3" s="5" t="s">
        <v>37</v>
      </c>
      <c r="B3" t="s">
        <v>50</v>
      </c>
      <c r="C3" t="s">
        <v>52</v>
      </c>
      <c r="D3" t="s">
        <v>49</v>
      </c>
      <c r="E3" t="s">
        <v>48</v>
      </c>
      <c r="F3" t="s">
        <v>47</v>
      </c>
      <c r="G3" t="s">
        <v>46</v>
      </c>
    </row>
    <row r="4" spans="1:7" x14ac:dyDescent="0.35">
      <c r="A4" s="6" t="s">
        <v>4</v>
      </c>
      <c r="B4">
        <v>364</v>
      </c>
      <c r="C4">
        <v>298</v>
      </c>
      <c r="D4">
        <v>178</v>
      </c>
      <c r="E4">
        <v>33</v>
      </c>
      <c r="F4">
        <v>21</v>
      </c>
      <c r="G4">
        <v>1</v>
      </c>
    </row>
    <row r="5" spans="1:7" x14ac:dyDescent="0.35">
      <c r="A5" s="6" t="s">
        <v>5</v>
      </c>
      <c r="B5">
        <v>348</v>
      </c>
      <c r="C5">
        <v>252</v>
      </c>
      <c r="D5">
        <v>228</v>
      </c>
      <c r="E5">
        <v>22</v>
      </c>
      <c r="F5">
        <v>33</v>
      </c>
      <c r="G5">
        <v>0</v>
      </c>
    </row>
    <row r="6" spans="1:7" x14ac:dyDescent="0.35">
      <c r="A6" s="6" t="s">
        <v>6</v>
      </c>
      <c r="B6">
        <v>455</v>
      </c>
      <c r="C6">
        <v>236</v>
      </c>
      <c r="D6">
        <v>239</v>
      </c>
      <c r="E6">
        <v>22</v>
      </c>
      <c r="F6">
        <v>28</v>
      </c>
      <c r="G6">
        <v>0</v>
      </c>
    </row>
    <row r="7" spans="1:7" x14ac:dyDescent="0.35">
      <c r="A7" s="6" t="s">
        <v>7</v>
      </c>
      <c r="B7">
        <v>510</v>
      </c>
      <c r="C7">
        <v>134</v>
      </c>
      <c r="D7">
        <v>330</v>
      </c>
      <c r="E7">
        <v>24</v>
      </c>
      <c r="F7">
        <v>52</v>
      </c>
      <c r="G7">
        <v>2</v>
      </c>
    </row>
    <row r="8" spans="1:7" x14ac:dyDescent="0.35">
      <c r="A8" s="6" t="s">
        <v>8</v>
      </c>
      <c r="B8">
        <v>0</v>
      </c>
      <c r="C8">
        <v>0</v>
      </c>
      <c r="D8">
        <v>0</v>
      </c>
      <c r="E8">
        <v>0</v>
      </c>
      <c r="F8">
        <v>0</v>
      </c>
      <c r="G8">
        <v>0</v>
      </c>
    </row>
    <row r="9" spans="1:7" x14ac:dyDescent="0.35">
      <c r="A9" s="6" t="s">
        <v>9</v>
      </c>
      <c r="B9">
        <v>0</v>
      </c>
      <c r="C9">
        <v>0</v>
      </c>
      <c r="D9">
        <v>0</v>
      </c>
      <c r="E9">
        <v>0</v>
      </c>
      <c r="F9">
        <v>0</v>
      </c>
      <c r="G9">
        <v>0</v>
      </c>
    </row>
    <row r="10" spans="1:7" x14ac:dyDescent="0.35">
      <c r="A10" s="6" t="s">
        <v>10</v>
      </c>
      <c r="B10">
        <v>0</v>
      </c>
      <c r="C10">
        <v>0</v>
      </c>
      <c r="D10">
        <v>0</v>
      </c>
      <c r="E10">
        <v>0</v>
      </c>
      <c r="F10">
        <v>0</v>
      </c>
      <c r="G10">
        <v>0</v>
      </c>
    </row>
    <row r="11" spans="1:7" x14ac:dyDescent="0.35">
      <c r="A11" s="6" t="s">
        <v>11</v>
      </c>
      <c r="B11">
        <v>0</v>
      </c>
      <c r="C11">
        <v>0</v>
      </c>
      <c r="D11">
        <v>0</v>
      </c>
      <c r="E11">
        <v>0</v>
      </c>
      <c r="F11">
        <v>0</v>
      </c>
      <c r="G11">
        <v>0</v>
      </c>
    </row>
    <row r="12" spans="1:7" x14ac:dyDescent="0.35">
      <c r="A12" s="6" t="s">
        <v>0</v>
      </c>
      <c r="B12">
        <v>523</v>
      </c>
      <c r="C12">
        <v>101</v>
      </c>
      <c r="D12">
        <v>357</v>
      </c>
      <c r="E12">
        <v>100</v>
      </c>
      <c r="F12">
        <v>93</v>
      </c>
      <c r="G12">
        <v>0</v>
      </c>
    </row>
    <row r="13" spans="1:7" x14ac:dyDescent="0.35">
      <c r="A13" s="6" t="s">
        <v>1</v>
      </c>
      <c r="B13">
        <v>681</v>
      </c>
      <c r="C13">
        <v>81</v>
      </c>
      <c r="D13">
        <v>343</v>
      </c>
      <c r="E13">
        <v>287</v>
      </c>
      <c r="F13">
        <v>94</v>
      </c>
      <c r="G13">
        <v>1</v>
      </c>
    </row>
    <row r="14" spans="1:7" x14ac:dyDescent="0.35">
      <c r="A14" s="6" t="s">
        <v>2</v>
      </c>
      <c r="B14">
        <v>417</v>
      </c>
      <c r="C14">
        <v>63</v>
      </c>
      <c r="D14">
        <v>265</v>
      </c>
      <c r="E14">
        <v>76</v>
      </c>
      <c r="F14">
        <v>13</v>
      </c>
      <c r="G14">
        <v>0</v>
      </c>
    </row>
    <row r="15" spans="1:7" x14ac:dyDescent="0.35">
      <c r="A15" s="6" t="s">
        <v>3</v>
      </c>
      <c r="B15">
        <v>280</v>
      </c>
      <c r="C15">
        <v>175</v>
      </c>
      <c r="D15">
        <v>139</v>
      </c>
      <c r="E15">
        <v>40</v>
      </c>
      <c r="F15">
        <v>31</v>
      </c>
      <c r="G15">
        <v>1</v>
      </c>
    </row>
    <row r="16" spans="1:7" x14ac:dyDescent="0.35">
      <c r="A16" s="6" t="s">
        <v>38</v>
      </c>
      <c r="B16">
        <v>3578</v>
      </c>
      <c r="C16">
        <v>1340</v>
      </c>
      <c r="D16">
        <v>2079</v>
      </c>
      <c r="E16">
        <v>604</v>
      </c>
      <c r="F16">
        <v>365</v>
      </c>
      <c r="G16">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5594D-5077-44B6-B83A-C41D5C942B12}">
  <dimension ref="A3:C16"/>
  <sheetViews>
    <sheetView workbookViewId="0">
      <selection activeCell="B3" sqref="B3"/>
    </sheetView>
  </sheetViews>
  <sheetFormatPr defaultRowHeight="14.5" x14ac:dyDescent="0.35"/>
  <cols>
    <col min="1" max="1" width="12.36328125" bestFit="1" customWidth="1"/>
    <col min="2" max="2" width="12.1796875" bestFit="1" customWidth="1"/>
    <col min="3" max="3" width="15.1796875" bestFit="1" customWidth="1"/>
  </cols>
  <sheetData>
    <row r="3" spans="1:3" x14ac:dyDescent="0.35">
      <c r="A3" s="5" t="s">
        <v>37</v>
      </c>
      <c r="B3" t="s">
        <v>47</v>
      </c>
      <c r="C3" t="s">
        <v>46</v>
      </c>
    </row>
    <row r="4" spans="1:3" x14ac:dyDescent="0.35">
      <c r="A4" s="6" t="s">
        <v>4</v>
      </c>
      <c r="B4">
        <v>21</v>
      </c>
      <c r="C4">
        <v>1</v>
      </c>
    </row>
    <row r="5" spans="1:3" x14ac:dyDescent="0.35">
      <c r="A5" s="6" t="s">
        <v>5</v>
      </c>
      <c r="B5">
        <v>33</v>
      </c>
      <c r="C5">
        <v>0</v>
      </c>
    </row>
    <row r="6" spans="1:3" x14ac:dyDescent="0.35">
      <c r="A6" s="6" t="s">
        <v>6</v>
      </c>
      <c r="B6">
        <v>28</v>
      </c>
      <c r="C6">
        <v>0</v>
      </c>
    </row>
    <row r="7" spans="1:3" x14ac:dyDescent="0.35">
      <c r="A7" s="6" t="s">
        <v>7</v>
      </c>
      <c r="B7">
        <v>52</v>
      </c>
      <c r="C7">
        <v>2</v>
      </c>
    </row>
    <row r="8" spans="1:3" x14ac:dyDescent="0.35">
      <c r="A8" s="6" t="s">
        <v>8</v>
      </c>
      <c r="B8">
        <v>0</v>
      </c>
      <c r="C8">
        <v>0</v>
      </c>
    </row>
    <row r="9" spans="1:3" x14ac:dyDescent="0.35">
      <c r="A9" s="6" t="s">
        <v>9</v>
      </c>
      <c r="B9">
        <v>0</v>
      </c>
      <c r="C9">
        <v>0</v>
      </c>
    </row>
    <row r="10" spans="1:3" x14ac:dyDescent="0.35">
      <c r="A10" s="6" t="s">
        <v>10</v>
      </c>
      <c r="B10">
        <v>0</v>
      </c>
      <c r="C10">
        <v>0</v>
      </c>
    </row>
    <row r="11" spans="1:3" x14ac:dyDescent="0.35">
      <c r="A11" s="6" t="s">
        <v>11</v>
      </c>
      <c r="B11">
        <v>0</v>
      </c>
      <c r="C11">
        <v>0</v>
      </c>
    </row>
    <row r="12" spans="1:3" x14ac:dyDescent="0.35">
      <c r="A12" s="6" t="s">
        <v>0</v>
      </c>
      <c r="B12">
        <v>93</v>
      </c>
      <c r="C12">
        <v>0</v>
      </c>
    </row>
    <row r="13" spans="1:3" x14ac:dyDescent="0.35">
      <c r="A13" s="6" t="s">
        <v>1</v>
      </c>
      <c r="B13">
        <v>94</v>
      </c>
      <c r="C13">
        <v>1</v>
      </c>
    </row>
    <row r="14" spans="1:3" x14ac:dyDescent="0.35">
      <c r="A14" s="6" t="s">
        <v>2</v>
      </c>
      <c r="B14">
        <v>13</v>
      </c>
      <c r="C14">
        <v>0</v>
      </c>
    </row>
    <row r="15" spans="1:3" x14ac:dyDescent="0.35">
      <c r="A15" s="6" t="s">
        <v>3</v>
      </c>
      <c r="B15">
        <v>31</v>
      </c>
      <c r="C15">
        <v>1</v>
      </c>
    </row>
    <row r="16" spans="1:3" x14ac:dyDescent="0.35">
      <c r="A16" s="6" t="s">
        <v>38</v>
      </c>
      <c r="B16">
        <v>365</v>
      </c>
      <c r="C16">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C9E0-A69C-407F-A369-3BCE1F45C5EC}">
  <dimension ref="A3:B16"/>
  <sheetViews>
    <sheetView workbookViewId="0">
      <selection activeCell="B3" sqref="B3"/>
    </sheetView>
  </sheetViews>
  <sheetFormatPr defaultRowHeight="14.5" x14ac:dyDescent="0.35"/>
  <cols>
    <col min="1" max="1" width="12.36328125" bestFit="1" customWidth="1"/>
    <col min="2" max="2" width="32.81640625" bestFit="1" customWidth="1"/>
  </cols>
  <sheetData>
    <row r="3" spans="1:2" x14ac:dyDescent="0.35">
      <c r="A3" s="5" t="s">
        <v>37</v>
      </c>
      <c r="B3" t="s">
        <v>52</v>
      </c>
    </row>
    <row r="4" spans="1:2" x14ac:dyDescent="0.35">
      <c r="A4" s="6" t="s">
        <v>4</v>
      </c>
      <c r="B4">
        <v>298</v>
      </c>
    </row>
    <row r="5" spans="1:2" x14ac:dyDescent="0.35">
      <c r="A5" s="6" t="s">
        <v>5</v>
      </c>
      <c r="B5">
        <v>252</v>
      </c>
    </row>
    <row r="6" spans="1:2" x14ac:dyDescent="0.35">
      <c r="A6" s="6" t="s">
        <v>6</v>
      </c>
      <c r="B6">
        <v>236</v>
      </c>
    </row>
    <row r="7" spans="1:2" x14ac:dyDescent="0.35">
      <c r="A7" s="6" t="s">
        <v>7</v>
      </c>
      <c r="B7">
        <v>134</v>
      </c>
    </row>
    <row r="8" spans="1:2" x14ac:dyDescent="0.35">
      <c r="A8" s="6" t="s">
        <v>8</v>
      </c>
      <c r="B8">
        <v>0</v>
      </c>
    </row>
    <row r="9" spans="1:2" x14ac:dyDescent="0.35">
      <c r="A9" s="6" t="s">
        <v>9</v>
      </c>
      <c r="B9">
        <v>0</v>
      </c>
    </row>
    <row r="10" spans="1:2" x14ac:dyDescent="0.35">
      <c r="A10" s="6" t="s">
        <v>10</v>
      </c>
      <c r="B10">
        <v>0</v>
      </c>
    </row>
    <row r="11" spans="1:2" x14ac:dyDescent="0.35">
      <c r="A11" s="6" t="s">
        <v>11</v>
      </c>
      <c r="B11">
        <v>0</v>
      </c>
    </row>
    <row r="12" spans="1:2" x14ac:dyDescent="0.35">
      <c r="A12" s="6" t="s">
        <v>0</v>
      </c>
      <c r="B12">
        <v>101</v>
      </c>
    </row>
    <row r="13" spans="1:2" x14ac:dyDescent="0.35">
      <c r="A13" s="6" t="s">
        <v>1</v>
      </c>
      <c r="B13">
        <v>81</v>
      </c>
    </row>
    <row r="14" spans="1:2" x14ac:dyDescent="0.35">
      <c r="A14" s="6" t="s">
        <v>2</v>
      </c>
      <c r="B14">
        <v>63</v>
      </c>
    </row>
    <row r="15" spans="1:2" x14ac:dyDescent="0.35">
      <c r="A15" s="6" t="s">
        <v>3</v>
      </c>
      <c r="B15">
        <v>175</v>
      </c>
    </row>
    <row r="16" spans="1:2" x14ac:dyDescent="0.35">
      <c r="A16" s="6" t="s">
        <v>38</v>
      </c>
      <c r="B16">
        <v>1340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DCF9C-89CB-4414-B304-E9C88DFE20EF}">
  <dimension ref="A3:C16"/>
  <sheetViews>
    <sheetView workbookViewId="0">
      <selection activeCell="C3" sqref="C3"/>
    </sheetView>
  </sheetViews>
  <sheetFormatPr defaultRowHeight="14.5" x14ac:dyDescent="0.35"/>
  <cols>
    <col min="1" max="1" width="12.36328125" bestFit="1" customWidth="1"/>
    <col min="2" max="2" width="22.7265625" bestFit="1" customWidth="1"/>
    <col min="3" max="3" width="22.36328125" bestFit="1" customWidth="1"/>
  </cols>
  <sheetData>
    <row r="3" spans="1:3" x14ac:dyDescent="0.35">
      <c r="A3" s="5" t="s">
        <v>37</v>
      </c>
      <c r="B3" t="s">
        <v>48</v>
      </c>
      <c r="C3" t="s">
        <v>49</v>
      </c>
    </row>
    <row r="4" spans="1:3" x14ac:dyDescent="0.35">
      <c r="A4" s="6" t="s">
        <v>4</v>
      </c>
      <c r="B4">
        <v>33</v>
      </c>
      <c r="C4">
        <v>178</v>
      </c>
    </row>
    <row r="5" spans="1:3" x14ac:dyDescent="0.35">
      <c r="A5" s="6" t="s">
        <v>5</v>
      </c>
      <c r="B5">
        <v>22</v>
      </c>
      <c r="C5">
        <v>228</v>
      </c>
    </row>
    <row r="6" spans="1:3" x14ac:dyDescent="0.35">
      <c r="A6" s="6" t="s">
        <v>6</v>
      </c>
      <c r="B6">
        <v>22</v>
      </c>
      <c r="C6">
        <v>239</v>
      </c>
    </row>
    <row r="7" spans="1:3" x14ac:dyDescent="0.35">
      <c r="A7" s="6" t="s">
        <v>7</v>
      </c>
      <c r="B7">
        <v>24</v>
      </c>
      <c r="C7">
        <v>330</v>
      </c>
    </row>
    <row r="8" spans="1:3" x14ac:dyDescent="0.35">
      <c r="A8" s="6" t="s">
        <v>8</v>
      </c>
      <c r="B8">
        <v>0</v>
      </c>
      <c r="C8">
        <v>0</v>
      </c>
    </row>
    <row r="9" spans="1:3" x14ac:dyDescent="0.35">
      <c r="A9" s="6" t="s">
        <v>9</v>
      </c>
      <c r="B9">
        <v>0</v>
      </c>
      <c r="C9">
        <v>0</v>
      </c>
    </row>
    <row r="10" spans="1:3" x14ac:dyDescent="0.35">
      <c r="A10" s="6" t="s">
        <v>10</v>
      </c>
      <c r="B10">
        <v>0</v>
      </c>
      <c r="C10">
        <v>0</v>
      </c>
    </row>
    <row r="11" spans="1:3" x14ac:dyDescent="0.35">
      <c r="A11" s="6" t="s">
        <v>11</v>
      </c>
      <c r="B11">
        <v>0</v>
      </c>
      <c r="C11">
        <v>0</v>
      </c>
    </row>
    <row r="12" spans="1:3" x14ac:dyDescent="0.35">
      <c r="A12" s="6" t="s">
        <v>0</v>
      </c>
      <c r="B12">
        <v>100</v>
      </c>
      <c r="C12">
        <v>357</v>
      </c>
    </row>
    <row r="13" spans="1:3" x14ac:dyDescent="0.35">
      <c r="A13" s="6" t="s">
        <v>1</v>
      </c>
      <c r="B13">
        <v>287</v>
      </c>
      <c r="C13">
        <v>343</v>
      </c>
    </row>
    <row r="14" spans="1:3" x14ac:dyDescent="0.35">
      <c r="A14" s="6" t="s">
        <v>2</v>
      </c>
      <c r="B14">
        <v>76</v>
      </c>
      <c r="C14">
        <v>265</v>
      </c>
    </row>
    <row r="15" spans="1:3" x14ac:dyDescent="0.35">
      <c r="A15" s="6" t="s">
        <v>3</v>
      </c>
      <c r="B15">
        <v>40</v>
      </c>
      <c r="C15">
        <v>139</v>
      </c>
    </row>
    <row r="16" spans="1:3" x14ac:dyDescent="0.35">
      <c r="A16" s="6" t="s">
        <v>38</v>
      </c>
      <c r="B16">
        <v>604</v>
      </c>
      <c r="C16">
        <v>2079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ED41C-DB14-48BF-A7A0-D6FBDA81DBAA}">
  <dimension ref="A3:C16"/>
  <sheetViews>
    <sheetView workbookViewId="0">
      <selection activeCell="C3" sqref="C3"/>
    </sheetView>
  </sheetViews>
  <sheetFormatPr defaultRowHeight="14.5" x14ac:dyDescent="0.35"/>
  <cols>
    <col min="1" max="1" width="12.36328125" bestFit="1" customWidth="1"/>
    <col min="2" max="2" width="22.26953125" bestFit="1" customWidth="1"/>
    <col min="3" max="3" width="21.90625" bestFit="1" customWidth="1"/>
  </cols>
  <sheetData>
    <row r="3" spans="1:3" x14ac:dyDescent="0.35">
      <c r="A3" s="5" t="s">
        <v>37</v>
      </c>
      <c r="B3" t="s">
        <v>50</v>
      </c>
      <c r="C3" t="s">
        <v>51</v>
      </c>
    </row>
    <row r="4" spans="1:3" x14ac:dyDescent="0.35">
      <c r="A4" s="6" t="s">
        <v>3</v>
      </c>
      <c r="B4">
        <v>280</v>
      </c>
      <c r="C4">
        <v>666</v>
      </c>
    </row>
    <row r="5" spans="1:3" x14ac:dyDescent="0.35">
      <c r="A5" s="6" t="s">
        <v>2</v>
      </c>
      <c r="B5">
        <v>417</v>
      </c>
      <c r="C5">
        <v>834</v>
      </c>
    </row>
    <row r="6" spans="1:3" x14ac:dyDescent="0.35">
      <c r="A6" s="6" t="s">
        <v>1</v>
      </c>
      <c r="B6">
        <v>681</v>
      </c>
      <c r="C6">
        <v>1488</v>
      </c>
    </row>
    <row r="7" spans="1:3" x14ac:dyDescent="0.35">
      <c r="A7" s="6" t="s">
        <v>0</v>
      </c>
      <c r="B7">
        <v>523</v>
      </c>
      <c r="C7">
        <v>1084</v>
      </c>
    </row>
    <row r="8" spans="1:3" x14ac:dyDescent="0.35">
      <c r="A8" s="6" t="s">
        <v>11</v>
      </c>
      <c r="B8">
        <v>0</v>
      </c>
      <c r="C8">
        <v>0</v>
      </c>
    </row>
    <row r="9" spans="1:3" x14ac:dyDescent="0.35">
      <c r="A9" s="6" t="s">
        <v>10</v>
      </c>
      <c r="B9">
        <v>0</v>
      </c>
      <c r="C9">
        <v>0</v>
      </c>
    </row>
    <row r="10" spans="1:3" x14ac:dyDescent="0.35">
      <c r="A10" s="6" t="s">
        <v>9</v>
      </c>
      <c r="B10">
        <v>0</v>
      </c>
      <c r="C10">
        <v>0</v>
      </c>
    </row>
    <row r="11" spans="1:3" x14ac:dyDescent="0.35">
      <c r="A11" s="6" t="s">
        <v>8</v>
      </c>
      <c r="B11">
        <v>0</v>
      </c>
      <c r="C11">
        <v>0</v>
      </c>
    </row>
    <row r="12" spans="1:3" x14ac:dyDescent="0.35">
      <c r="A12" s="6" t="s">
        <v>7</v>
      </c>
      <c r="B12">
        <v>510</v>
      </c>
      <c r="C12">
        <v>1055</v>
      </c>
    </row>
    <row r="13" spans="1:3" x14ac:dyDescent="0.35">
      <c r="A13" s="6" t="s">
        <v>6</v>
      </c>
      <c r="B13">
        <v>455</v>
      </c>
      <c r="C13">
        <v>982</v>
      </c>
    </row>
    <row r="14" spans="1:3" x14ac:dyDescent="0.35">
      <c r="A14" s="6" t="s">
        <v>5</v>
      </c>
      <c r="B14">
        <v>348</v>
      </c>
      <c r="C14">
        <v>883</v>
      </c>
    </row>
    <row r="15" spans="1:3" x14ac:dyDescent="0.35">
      <c r="A15" s="6" t="s">
        <v>4</v>
      </c>
      <c r="B15">
        <v>364</v>
      </c>
      <c r="C15">
        <v>894</v>
      </c>
    </row>
    <row r="16" spans="1:3" x14ac:dyDescent="0.35">
      <c r="A16" s="6" t="s">
        <v>38</v>
      </c>
      <c r="B16">
        <v>3578</v>
      </c>
      <c r="C16">
        <v>7886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Original Data</vt:lpstr>
      <vt:lpstr>Monthly Services (PHC, TXHS, W)</vt:lpstr>
      <vt:lpstr>Census Data</vt:lpstr>
      <vt:lpstr>Service Breakdown by Month</vt:lpstr>
      <vt:lpstr>TB Screening and Positive Resul</vt:lpstr>
      <vt:lpstr>Monthly Infectious Disease Repo</vt:lpstr>
      <vt:lpstr>Vaccines Administered by Age Gr</vt:lpstr>
      <vt:lpstr>Clients Served vs. Total Servic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2015-06-05T18:17:20Z</dcterms:created>
  <dcterms:modified xsi:type="dcterms:W3CDTF">2025-07-31T21:48:58Z</dcterms:modified>
</cp:coreProperties>
</file>