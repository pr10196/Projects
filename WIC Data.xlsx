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Users\phisf\Downloads\H2TX\ACCHD Health Data\"/>
    </mc:Choice>
  </mc:AlternateContent>
  <xr:revisionPtr revIDLastSave="0" documentId="13_ncr:1_{530C8C27-881D-471F-97DD-A34448F1969E}" xr6:coauthVersionLast="47" xr6:coauthVersionMax="47" xr10:uidLastSave="{00000000-0000-0000-0000-000000000000}"/>
  <bookViews>
    <workbookView xWindow="-110" yWindow="-110" windowWidth="19420" windowHeight="10300" xr2:uid="{00000000-000D-0000-FFFF-FFFF00000000}"/>
  </bookViews>
  <sheets>
    <sheet name="Dashboard" sheetId="2" r:id="rId1"/>
    <sheet name="Initial WIC Data" sheetId="1" state="hidden" r:id="rId2"/>
    <sheet name="WIC Data" sheetId="3" r:id="rId3"/>
    <sheet name="Client Education Sessions Trend" sheetId="9" r:id="rId4"/>
    <sheet name="Distribution of TexasWIC.org Re" sheetId="8" r:id="rId5"/>
    <sheet name="Monthly In-House Lab Activity" sheetId="7" r:id="rId6"/>
    <sheet name="Proportion of Location Counseli" sheetId="6" r:id="rId7"/>
    <sheet name="Peer Counselor Visits and After" sheetId="5" r:id="rId8"/>
    <sheet name="Monthly WIC Participation" sheetId="4" r:id="rId9"/>
  </sheets>
  <definedNames>
    <definedName name="Slicer_Month">#N/A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<sst xmlns="http://schemas.openxmlformats.org/spreadsheetml/2006/main" count="137" uniqueCount="46">
  <si>
    <t>Registration Processing and Assistance</t>
  </si>
  <si>
    <t>Participation</t>
  </si>
  <si>
    <t>Peer Counselor Visits</t>
  </si>
  <si>
    <t>Peer Counselor Visits After Hours</t>
  </si>
  <si>
    <t>Location Counseling Visits</t>
  </si>
  <si>
    <t>Client Education</t>
  </si>
  <si>
    <t>In-House Labs (kgb)</t>
  </si>
  <si>
    <t>Apply Now-TexasWIC.org</t>
  </si>
  <si>
    <t>Total</t>
  </si>
  <si>
    <t>Sep-24</t>
  </si>
  <si>
    <t>Oct-24</t>
  </si>
  <si>
    <t>Nov-24</t>
  </si>
  <si>
    <t>Dec-24</t>
  </si>
  <si>
    <t>Feb-25</t>
  </si>
  <si>
    <t>Jan-25</t>
  </si>
  <si>
    <t>Mar-25</t>
  </si>
  <si>
    <t>Apr-25</t>
  </si>
  <si>
    <t>May-25</t>
  </si>
  <si>
    <t>Jun-25</t>
  </si>
  <si>
    <t>Jul-25</t>
  </si>
  <si>
    <t>Aug-25</t>
  </si>
  <si>
    <t>60+</t>
  </si>
  <si>
    <t>Category</t>
  </si>
  <si>
    <t>Month</t>
  </si>
  <si>
    <t>January</t>
  </si>
  <si>
    <t>February</t>
  </si>
  <si>
    <t>March</t>
  </si>
  <si>
    <t>April</t>
  </si>
  <si>
    <t>May</t>
  </si>
  <si>
    <t>June</t>
  </si>
  <si>
    <t>July</t>
  </si>
  <si>
    <t>August</t>
  </si>
  <si>
    <t>September</t>
  </si>
  <si>
    <t>October</t>
  </si>
  <si>
    <t>November</t>
  </si>
  <si>
    <t>December</t>
  </si>
  <si>
    <t>Apply Now: TexasWIC.org</t>
  </si>
  <si>
    <t>Row Labels</t>
  </si>
  <si>
    <t>Grand Total</t>
  </si>
  <si>
    <t>Sum of Participation</t>
  </si>
  <si>
    <t>Sum of Location Counseling Visits</t>
  </si>
  <si>
    <t>Sum of In-House Labs (kgb)</t>
  </si>
  <si>
    <t>Sum of Apply Now: TexasWIC.org</t>
  </si>
  <si>
    <t>Sum of Client Education</t>
  </si>
  <si>
    <t>Number of Peer Counselor Visits After Hours</t>
  </si>
  <si>
    <t>Number of Peer Counselor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</si>
</sst>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1" fillId="0" borderId="0" xfId="0" applyNumberFormat="1" applyFont="1" applyAlignment="1">
      <alignment horizontal="center"/>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wrapText="1"/>
    </xf>
    <xf numFmtId="0" fontId="0" fillId="0" borderId="0" xfId="0" pivotButton="1"/>
    <xf numFmtId="0" fontId="0" fillId="0" borderId="0" xfId="0" applyAlignment="1">
      <alignment horizontal="left"/>
    </xf>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Data.xlsx]Client Education Sessions Trend!PivotTable7</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Client Education Sessions Trend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0028612303290443E-2"/>
              <c:y val="-5.21327014218009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5836909871244635E-3"/>
              <c:y val="-4.2654028436018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4.73933649289099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5.2132701421800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6.16113744075829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6.16113744075828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0491056679570123E-16"/>
              <c:y val="-7.1090047393364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73933649289099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0028612303290443E-2"/>
              <c:y val="-5.21327014218009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5836909871244635E-3"/>
              <c:y val="-4.2654028436018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4.73933649289099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5.2132701421800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6.16113744075829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6.16113744075828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0491056679570123E-16"/>
              <c:y val="-7.1090047393364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73933649289099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0028612303290443E-2"/>
              <c:y val="-5.21327014218009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5836909871244635E-3"/>
              <c:y val="-4.26540284360189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4.73933649289099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5.21327014218009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4878E-3"/>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2.36966824644549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6.16113744075829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8612303290415928E-3"/>
              <c:y val="6.161137440758289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0491056679570123E-16"/>
              <c:y val="-7.109004739336496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73933649289099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'Client Education Sessions Trend'!$B$3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2F60-4AF0-897B-5E1D729FB430}"/>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2F60-4AF0-897B-5E1D729FB430}"/>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2-2F60-4AF0-897B-5E1D729FB430}"/>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3-2F60-4AF0-897B-5E1D729FB430}"/>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4-2F60-4AF0-897B-5E1D729FB430}"/>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5-2F60-4AF0-897B-5E1D729FB430}"/>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6-2F60-4AF0-897B-5E1D729FB430}"/>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7-2F60-4AF0-897B-5E1D729FB430}"/>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8-2F60-4AF0-897B-5E1D729FB430}"/>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9-2F60-4AF0-897B-5E1D729FB430}"/>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A-2F60-4AF0-897B-5E1D729FB430}"/>
              </c:ext>
            </c:extLst>
          </c:dPt>
          <c:dLbls>
            <c:dLbl>
              <c:idx val="0"/>
              <c:layout>
                <c:manualLayout>
                  <c:x val="-2.0028612303290443E-2"/>
                  <c:y val="-5.2132701421800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F60-4AF0-897B-5E1D729FB430}"/>
                </c:ext>
              </c:extLst>
            </c:dLbl>
            <c:dLbl>
              <c:idx val="1"/>
              <c:layout>
                <c:manualLayout>
                  <c:x val="-8.5836909871244635E-3"/>
                  <c:y val="-4.26540284360189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60-4AF0-897B-5E1D729FB430}"/>
                </c:ext>
              </c:extLst>
            </c:dLbl>
            <c:dLbl>
              <c:idx val="2"/>
              <c:layout>
                <c:manualLayout>
                  <c:x val="-2.8612303290414878E-3"/>
                  <c:y val="-4.739336492890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F60-4AF0-897B-5E1D729FB430}"/>
                </c:ext>
              </c:extLst>
            </c:dLbl>
            <c:dLbl>
              <c:idx val="3"/>
              <c:layout>
                <c:manualLayout>
                  <c:x val="2.8612303290414878E-3"/>
                  <c:y val="-5.2132701421800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60-4AF0-897B-5E1D729FB430}"/>
                </c:ext>
              </c:extLst>
            </c:dLbl>
            <c:dLbl>
              <c:idx val="5"/>
              <c:layout>
                <c:manualLayout>
                  <c:x val="0"/>
                  <c:y val="-2.3696682464454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F60-4AF0-897B-5E1D729FB430}"/>
                </c:ext>
              </c:extLst>
            </c:dLbl>
            <c:dLbl>
              <c:idx val="6"/>
              <c:layout>
                <c:manualLayout>
                  <c:x val="-2.8612303290414878E-3"/>
                  <c:y val="-2.3696682464454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F60-4AF0-897B-5E1D729FB430}"/>
                </c:ext>
              </c:extLst>
            </c:dLbl>
            <c:dLbl>
              <c:idx val="7"/>
              <c:layout>
                <c:manualLayout>
                  <c:x val="0"/>
                  <c:y val="-2.3696682464454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F60-4AF0-897B-5E1D729FB430}"/>
                </c:ext>
              </c:extLst>
            </c:dLbl>
            <c:dLbl>
              <c:idx val="8"/>
              <c:layout>
                <c:manualLayout>
                  <c:x val="-2.8612303290415928E-3"/>
                  <c:y val="-6.16113744075829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F60-4AF0-897B-5E1D729FB430}"/>
                </c:ext>
              </c:extLst>
            </c:dLbl>
            <c:dLbl>
              <c:idx val="9"/>
              <c:layout>
                <c:manualLayout>
                  <c:x val="-2.8612303290415928E-3"/>
                  <c:y val="6.16113744075828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F60-4AF0-897B-5E1D729FB430}"/>
                </c:ext>
              </c:extLst>
            </c:dLbl>
            <c:dLbl>
              <c:idx val="10"/>
              <c:layout>
                <c:manualLayout>
                  <c:x val="1.0491056679570123E-16"/>
                  <c:y val="-7.1090047393364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F60-4AF0-897B-5E1D729FB430}"/>
                </c:ext>
              </c:extLst>
            </c:dLbl>
            <c:dLbl>
              <c:idx val="11"/>
              <c:layout>
                <c:manualLayout>
                  <c:x val="0"/>
                  <c:y val="4.73933649289099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F60-4AF0-897B-5E1D729FB43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'Client Education Sessions Trend'!$A$4:$A$16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'Client Education Sessions Trend'!$B$4:$B$16</c:f>
              <c:numCache>
                <c:formatCode>General</c:formatCode>
                <c:ptCount val="12"/>
                <c:pt idx="0">
                  <c:v>2379</c:v>
                </c:pt>
                <c:pt idx="1">
                  <c:v>2407</c:v>
                </c:pt>
                <c:pt idx="2">
                  <c:v>2377</c:v>
                </c:pt>
                <c:pt idx="3">
                  <c:v>2362</c:v>
                </c:pt>
                <c:pt idx="4">
                  <c:v>2359</c:v>
                </c:pt>
                <c:pt idx="5">
                  <c:v>0</c:v>
                </c:pt>
                <c:pt idx="6">
                  <c:v>0</c:v>
                </c:pt>
                <c:pt idx="7">
                  <c:v>0</c:v>
                </c:pt>
                <c:pt idx="8">
                  <c:v>2485</c:v>
                </c:pt>
                <c:pt idx="9">
                  <c:v>2528</c:v>
                </c:pt>
                <c:pt idx="10">
                  <c:v>2458</c:v>
                </c:pt>
                <c:pt idx="11">
                  <c:v>2396</c:v>
                </c:pt>
              </c:numCache>
            </c:numRef>
          </c:val>
          <c:smooth val="0"/>
          <c:extLst>
            <c:ext xmlns:c16="http://schemas.microsoft.com/office/drawing/2014/chart" uri="{C3380CC4-5D6E-409C-BE32-E72D297353CC}">
              <c16:uniqueId val="{0000000B-2F60-4AF0-897B-5E1D729FB430}"/>
            </c:ext>
          </c:extLst>
        </c:ser>
        <c:dLbls>
          <c:showLegendKey val="0"/>
          <c:showVal val="0"/>
          <c:showCatName val="0"/>
          <c:showSerName val="0"/>
          <c:showPercent val="0"/>
          <c:showBubbleSize val="0"/>
        </c:dLbls>
        <c:marker val="1"/>
        <c:smooth val="0"/>
        <c:axId val="1518470927"/>
        <c:axId val="1518483887"/>
      </c:lineChart>
      <c:catAx>
        <c:axId val="1518470927"/>
        <c:scaling>
          <c:orientation val="minMax"/>
        </c:scaling>
        <c:delete val="0"/>
        <c:axPos val="b"/>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Month</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18483887"/>
        <c:crosses val="autoZero"/>
        <c:auto val="1"/>
        <c:lblAlgn val="ctr"/>
        <c:lblOffset val="100"/>
        <c:noMultiLvlLbl val="0"/>
      </c:catAx>
      <c:valAx>
        <c:axId val="1518483887"/>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Education Sessions Delivered</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1847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Data.xlsx]Distribution of TexasWIC.org Re!PivotTable6</c:name>
    <c:fmtId val="6"/>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Distribution of TexasWIC.org Referrals by Month</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2E-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333333333332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Lbl>
          <c:idx val="0"/>
          <c:layout>
            <c:manualLayout>
              <c:x val="6.666666666666666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4.1261015994461143E-2"/>
              <c:y val="7.43910958498608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1.1111163265545607E-2"/>
              <c:y val="8.9921654530025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5277777777777779"/>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Lbl>
          <c:idx val="0"/>
          <c:layout>
            <c:manualLayout>
              <c:x val="-0.10555555555555556"/>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Lbl>
          <c:idx val="0"/>
          <c:layout>
            <c:manualLayout>
              <c:x val="-5.8333333333333334E-2"/>
              <c:y val="9.7222222222222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dLbl>
          <c:idx val="0"/>
          <c:layout>
            <c:manualLayout>
              <c:x val="-7.2222222222222243E-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Lbl>
          <c:idx val="0"/>
          <c:layout>
            <c:manualLayout>
              <c:x val="-6.1111111111111137E-2"/>
              <c:y val="-5.0925925925926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dLbl>
          <c:idx val="0"/>
          <c:layout>
            <c:manualLayout>
              <c:x val="-4.16666666666667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Lbl>
          <c:idx val="0"/>
          <c:layout>
            <c:manualLayout>
              <c:x val="-1.111111111111116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2E-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83333333333332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666666666666666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261015994461143E-2"/>
              <c:y val="7.43910958498608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1111163265545607E-2"/>
              <c:y val="8.9921654530025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77777777777779"/>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555555555555556"/>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8333333333333334E-2"/>
              <c:y val="9.7222222222222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2222222222222243E-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1111111111111137E-2"/>
              <c:y val="-5.0925925925926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6666666666667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111111111111116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5555555555555552E-2"/>
              <c:y val="-7.407407407407411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833333333333323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666666666666666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261015994461143E-2"/>
              <c:y val="7.439109584986086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1111163265545607E-2"/>
              <c:y val="8.9921654530025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5277777777777779"/>
              <c:y val="6.01851851851851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0555555555555556"/>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5.8333333333333334E-2"/>
              <c:y val="9.72222222222220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7.2222222222222243E-2"/>
              <c:y val="9.25925925925917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1111111111111137E-2"/>
              <c:y val="-5.092592592592601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16666666666667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1111111111111162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'Distribution of TexasWIC.org Re'!$B$3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8B7-4B43-8601-6A3C18C2328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8B7-4B43-8601-6A3C18C2328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8B7-4B43-8601-6A3C18C2328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8B7-4B43-8601-6A3C18C2328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C8B7-4B43-8601-6A3C18C2328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8B7-4B43-8601-6A3C18C2328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C8B7-4B43-8601-6A3C18C2328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C8B7-4B43-8601-6A3C18C2328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C8B7-4B43-8601-6A3C18C2328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C8B7-4B43-8601-6A3C18C2328E}"/>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C8B7-4B43-8601-6A3C18C2328E}"/>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C8B7-4B43-8601-6A3C18C2328E}"/>
              </c:ext>
            </c:extLst>
          </c:dPt>
          <c:dLbls>
            <c:dLbl>
              <c:idx val="0"/>
              <c:layout>
                <c:manualLayout>
                  <c:x val="5.5555555555555552E-2"/>
                  <c:y val="-7.4074074074074112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8B7-4B43-8601-6A3C18C2328E}"/>
                </c:ext>
              </c:extLst>
            </c:dLbl>
            <c:dLbl>
              <c:idx val="1"/>
              <c:layout>
                <c:manualLayout>
                  <c:x val="5.833333333333323E-2"/>
                  <c:y val="-4.1666666666666664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8B7-4B43-8601-6A3C18C2328E}"/>
                </c:ext>
              </c:extLst>
            </c:dLbl>
            <c:dLbl>
              <c:idx val="2"/>
              <c:layout>
                <c:manualLayout>
                  <c:x val="6.6666666666666666E-2"/>
                  <c:y val="1.851851851851851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8B7-4B43-8601-6A3C18C2328E}"/>
                </c:ext>
              </c:extLst>
            </c:dLbl>
            <c:dLbl>
              <c:idx val="3"/>
              <c:layout>
                <c:manualLayout>
                  <c:x val="4.1261015994461143E-2"/>
                  <c:y val="7.439109584986086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8B7-4B43-8601-6A3C18C2328E}"/>
                </c:ext>
              </c:extLst>
            </c:dLbl>
            <c:dLbl>
              <c:idx val="4"/>
              <c:layout>
                <c:manualLayout>
                  <c:x val="-1.1111163265545607E-2"/>
                  <c:y val="8.992165453002584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C8B7-4B43-8601-6A3C18C2328E}"/>
                </c:ext>
              </c:extLst>
            </c:dLbl>
            <c:dLbl>
              <c:idx val="5"/>
              <c:layout>
                <c:manualLayout>
                  <c:x val="-0.15277777777777779"/>
                  <c:y val="6.0185185185185182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C8B7-4B43-8601-6A3C18C2328E}"/>
                </c:ext>
              </c:extLst>
            </c:dLbl>
            <c:dLbl>
              <c:idx val="6"/>
              <c:layout>
                <c:manualLayout>
                  <c:x val="-0.10555555555555556"/>
                  <c:y val="8.333333333333324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C8B7-4B43-8601-6A3C18C2328E}"/>
                </c:ext>
              </c:extLst>
            </c:dLbl>
            <c:dLbl>
              <c:idx val="7"/>
              <c:layout>
                <c:manualLayout>
                  <c:x val="-5.8333333333333334E-2"/>
                  <c:y val="9.7222222222222057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F-C8B7-4B43-8601-6A3C18C2328E}"/>
                </c:ext>
              </c:extLst>
            </c:dLbl>
            <c:dLbl>
              <c:idx val="8"/>
              <c:layout>
                <c:manualLayout>
                  <c:x val="-7.2222222222222243E-2"/>
                  <c:y val="9.2592592592591737E-3"/>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1-C8B7-4B43-8601-6A3C18C2328E}"/>
                </c:ext>
              </c:extLst>
            </c:dLbl>
            <c:dLbl>
              <c:idx val="9"/>
              <c:layout>
                <c:manualLayout>
                  <c:x val="-6.1111111111111137E-2"/>
                  <c:y val="-5.0925925925926013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3-C8B7-4B43-8601-6A3C18C2328E}"/>
                </c:ext>
              </c:extLst>
            </c:dLbl>
            <c:dLbl>
              <c:idx val="10"/>
              <c:layout>
                <c:manualLayout>
                  <c:x val="-4.166666666666672E-2"/>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5-C8B7-4B43-8601-6A3C18C2328E}"/>
                </c:ext>
              </c:extLst>
            </c:dLbl>
            <c:dLbl>
              <c:idx val="11"/>
              <c:layout>
                <c:manualLayout>
                  <c:x val="-1.1111111111111162E-2"/>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17-C8B7-4B43-8601-6A3C18C232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'Distribution of TexasWIC.org Re'!$A$4:$A$16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'Distribution of TexasWIC.org Re'!$B$4:$B$16</c:f>
              <c:numCache>
                <c:formatCode>General</c:formatCode>
                <c:ptCount val="12"/>
                <c:pt idx="0">
                  <c:v>60</c:v>
                </c:pt>
                <c:pt idx="1">
                  <c:v>46</c:v>
                </c:pt>
                <c:pt idx="2">
                  <c:v>47</c:v>
                </c:pt>
                <c:pt idx="3">
                  <c:v>62</c:v>
                </c:pt>
                <c:pt idx="4">
                  <c:v>57</c:v>
                </c:pt>
                <c:pt idx="5">
                  <c:v>0</c:v>
                </c:pt>
                <c:pt idx="6">
                  <c:v>0</c:v>
                </c:pt>
                <c:pt idx="7">
                  <c:v>0</c:v>
                </c:pt>
                <c:pt idx="8">
                  <c:v>39</c:v>
                </c:pt>
                <c:pt idx="9">
                  <c:v>38</c:v>
                </c:pt>
                <c:pt idx="10">
                  <c:v>36</c:v>
                </c:pt>
                <c:pt idx="11">
                  <c:v>33</c:v>
                </c:pt>
              </c:numCache>
            </c:numRef>
          </c:val>
          <c:extLst>
            <c:ext xmlns:c16="http://schemas.microsoft.com/office/drawing/2014/chart" uri="{C3380CC4-5D6E-409C-BE32-E72D297353CC}">
              <c16:uniqueId val="{00000018-C8B7-4B43-8601-6A3C18C2328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81440651513195739"/>
          <c:y val="0.18444898501611348"/>
          <c:w val="0.16770972927936914"/>
          <c:h val="0.7120303000099671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Data.xlsx]Monthly In-House Lab Activity!PivotTable5</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Monthly In-House Lab Activity (kgb)</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010883812341616E-16"/>
              <c:y val="-2.96296296296296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9753086419753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018018018018018E-2"/>
              <c:y val="1.48148148148149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0180180180180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015015015014906E-2"/>
              <c:y val="4.629629629629544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21021021021023E-2"/>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21021021021023E-2"/>
              <c:y val="1.3888888888888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21021021021023E-2"/>
              <c:y val="1.3888888888888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21021021021023E-2"/>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015015015014906E-2"/>
              <c:y val="4.629629629629544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0180180180180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018018018018018E-2"/>
              <c:y val="1.48148148148149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9753086419753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010883812341616E-16"/>
              <c:y val="-2.96296296296296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21021021021023E-2"/>
              <c:y val="1.3888888888888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021021021021023E-2"/>
              <c:y val="-8.4875562720133283E-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015015015014906E-2"/>
              <c:y val="4.629629629629544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018018018018018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8018018018018018E-2"/>
              <c:y val="1.48148148148149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9753086419753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1010883812341616E-16"/>
              <c:y val="-2.96296296296296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'Monthly In-House Lab Activity'!$B$3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985E-4027-A7B5-3CE4BFFBF19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85E-4027-A7B5-3CE4BFFBF19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85E-4027-A7B5-3CE4BFFBF19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85E-4027-A7B5-3CE4BFFBF197}"/>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85E-4027-A7B5-3CE4BFFBF197}"/>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85E-4027-A7B5-3CE4BFFBF197}"/>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85E-4027-A7B5-3CE4BFFBF197}"/>
              </c:ext>
            </c:extLst>
          </c:dPt>
          <c:dLbls>
            <c:dLbl>
              <c:idx val="0"/>
              <c:layout>
                <c:manualLayout>
                  <c:x val="2.1021021021021023E-2"/>
                  <c:y val="1.3888888888888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5E-4027-A7B5-3CE4BFFBF197}"/>
                </c:ext>
              </c:extLst>
            </c:dLbl>
            <c:dLbl>
              <c:idx val="1"/>
              <c:layout>
                <c:manualLayout>
                  <c:x val="2.1021021021021023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5E-4027-A7B5-3CE4BFFBF197}"/>
                </c:ext>
              </c:extLst>
            </c:dLbl>
            <c:dLbl>
              <c:idx val="2"/>
              <c:layout>
                <c:manualLayout>
                  <c:x val="1.5015015015014906E-2"/>
                  <c:y val="4.62962962962954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5E-4027-A7B5-3CE4BFFBF197}"/>
                </c:ext>
              </c:extLst>
            </c:dLbl>
            <c:dLbl>
              <c:idx val="3"/>
              <c:layout>
                <c:manualLayout>
                  <c:x val="1.801801801801801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5E-4027-A7B5-3CE4BFFBF197}"/>
                </c:ext>
              </c:extLst>
            </c:dLbl>
            <c:dLbl>
              <c:idx val="6"/>
              <c:layout>
                <c:manualLayout>
                  <c:x val="1.8018018018018018E-2"/>
                  <c:y val="1.48148148148149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5E-4027-A7B5-3CE4BFFBF197}"/>
                </c:ext>
              </c:extLst>
            </c:dLbl>
            <c:dLbl>
              <c:idx val="8"/>
              <c:layout>
                <c:manualLayout>
                  <c:x val="0"/>
                  <c:y val="-1.9753086419753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5E-4027-A7B5-3CE4BFFBF197}"/>
                </c:ext>
              </c:extLst>
            </c:dLbl>
            <c:dLbl>
              <c:idx val="11"/>
              <c:layout>
                <c:manualLayout>
                  <c:x val="-1.1010883812341616E-16"/>
                  <c:y val="-2.9629629629629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85E-4027-A7B5-3CE4BFFBF19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In-House Lab Activity'!$A$4:$A$16</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'Monthly In-House Lab Activity'!$B$4:$B$16</c:f>
              <c:numCache>
                <c:formatCode>General</c:formatCode>
                <c:ptCount val="12"/>
                <c:pt idx="0">
                  <c:v>196</c:v>
                </c:pt>
                <c:pt idx="1">
                  <c:v>226</c:v>
                </c:pt>
                <c:pt idx="2">
                  <c:v>341</c:v>
                </c:pt>
                <c:pt idx="3">
                  <c:v>276</c:v>
                </c:pt>
                <c:pt idx="4">
                  <c:v>0</c:v>
                </c:pt>
                <c:pt idx="5">
                  <c:v>0</c:v>
                </c:pt>
                <c:pt idx="6">
                  <c:v>270</c:v>
                </c:pt>
                <c:pt idx="7">
                  <c:v>241</c:v>
                </c:pt>
                <c:pt idx="8">
                  <c:v>265</c:v>
                </c:pt>
                <c:pt idx="9">
                  <c:v>211</c:v>
                </c:pt>
                <c:pt idx="10">
                  <c:v>258</c:v>
                </c:pt>
                <c:pt idx="11">
                  <c:v>267</c:v>
                </c:pt>
              </c:numCache>
            </c:numRef>
          </c:val>
          <c:extLst>
            <c:ext xmlns:c16="http://schemas.microsoft.com/office/drawing/2014/chart" uri="{C3380CC4-5D6E-409C-BE32-E72D297353CC}">
              <c16:uniqueId val="{00000007-985E-4027-A7B5-3CE4BFFBF197}"/>
            </c:ext>
          </c:extLst>
        </c:ser>
        <c:dLbls>
          <c:showLegendKey val="0"/>
          <c:showVal val="0"/>
          <c:showCatName val="0"/>
          <c:showSerName val="0"/>
          <c:showPercent val="0"/>
          <c:showBubbleSize val="0"/>
        </c:dLbls>
        <c:gapWidth val="115"/>
        <c:overlap val="-20"/>
        <c:axId val="1518489167"/>
        <c:axId val="1518478127"/>
      </c:barChart>
      <c:catAx>
        <c:axId val="1518489167"/>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a:solidFill>
                      <a:sysClr val="windowText" lastClr="000000"/>
                    </a:solidFill>
                  </a:rPr>
                  <a:t>Month</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18478127"/>
        <c:crosses val="autoZero"/>
        <c:auto val="1"/>
        <c:lblAlgn val="ctr"/>
        <c:lblOffset val="100"/>
        <c:noMultiLvlLbl val="0"/>
      </c:catAx>
      <c:valAx>
        <c:axId val="1518478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sz="1000">
                    <a:solidFill>
                      <a:sysClr val="windowText" lastClr="000000"/>
                    </a:solidFill>
                  </a:rPr>
                  <a:t>Lab Count (kgb)</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1848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Data.xlsx]Proportion of Location Counseli!PivotTable4</c:name>
    <c:fmtId val="5"/>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Proportion of Location Counseling Visits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2.399314481576689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Lbl>
          <c:idx val="0"/>
          <c:layout>
            <c:manualLayout>
              <c:x val="-2.3391812865497075E-2"/>
              <c:y val="4.0899795501022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Lbl>
          <c:idx val="0"/>
          <c:layout>
            <c:manualLayout>
              <c:x val="-8.6969887118865927E-2"/>
              <c:y val="1.06927721478761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9314481576689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391812865497075E-2"/>
              <c:y val="4.0899795501022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6969887118865927E-2"/>
              <c:y val="1.06927721478761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993144815766893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2.3391812865497075E-2"/>
              <c:y val="4.089979550102249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6969887118865927E-2"/>
              <c:y val="1.06927721478761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'Proportion of Location Counseli'!$B$3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091-44B4-824C-4C60A6B2E20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091-44B4-824C-4C60A6B2E20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091-44B4-824C-4C60A6B2E20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091-44B4-824C-4C60A6B2E20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8091-44B4-824C-4C60A6B2E20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8091-44B4-824C-4C60A6B2E20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8091-44B4-824C-4C60A6B2E20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8091-44B4-824C-4C60A6B2E20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8091-44B4-824C-4C60A6B2E20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8091-44B4-824C-4C60A6B2E20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8091-44B4-824C-4C60A6B2E20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8091-44B4-824C-4C60A6B2E20D}"/>
              </c:ext>
            </c:extLst>
          </c:dPt>
          <c:dLbls>
            <c:dLbl>
              <c:idx val="5"/>
              <c:layout>
                <c:manualLayout>
                  <c:x val="2.3993144815766893E-2"/>
                  <c:y val="0"/>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8091-44B4-824C-4C60A6B2E20D}"/>
                </c:ext>
              </c:extLst>
            </c:dLbl>
            <c:dLbl>
              <c:idx val="6"/>
              <c:layout>
                <c:manualLayout>
                  <c:x val="-2.3391812865497075E-2"/>
                  <c:y val="4.089979550102249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8091-44B4-824C-4C60A6B2E20D}"/>
                </c:ext>
              </c:extLst>
            </c:dLbl>
            <c:dLbl>
              <c:idx val="7"/>
              <c:layout>
                <c:manualLayout>
                  <c:x val="-8.6969887118865927E-2"/>
                  <c:y val="1.069277214787613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8091-44B4-824C-4C60A6B2E20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'Proportion of Location Counseli'!$A$4:$A$16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'Proportion of Location Counseli'!$B$4:$B$16</c:f>
              <c:numCache>
                <c:formatCode>General</c:formatCode>
                <c:ptCount val="12"/>
                <c:pt idx="0">
                  <c:v>21</c:v>
                </c:pt>
                <c:pt idx="1">
                  <c:v>32</c:v>
                </c:pt>
                <c:pt idx="2">
                  <c:v>28</c:v>
                </c:pt>
                <c:pt idx="3">
                  <c:v>62</c:v>
                </c:pt>
                <c:pt idx="4">
                  <c:v>46</c:v>
                </c:pt>
                <c:pt idx="5">
                  <c:v>26</c:v>
                </c:pt>
                <c:pt idx="6">
                  <c:v>0</c:v>
                </c:pt>
                <c:pt idx="7">
                  <c:v>0</c:v>
                </c:pt>
                <c:pt idx="8">
                  <c:v>42</c:v>
                </c:pt>
                <c:pt idx="9">
                  <c:v>23</c:v>
                </c:pt>
                <c:pt idx="10">
                  <c:v>28</c:v>
                </c:pt>
                <c:pt idx="11">
                  <c:v>48</c:v>
                </c:pt>
              </c:numCache>
            </c:numRef>
          </c:val>
          <c:extLst>
            <c:ext xmlns:c16="http://schemas.microsoft.com/office/drawing/2014/chart" uri="{C3380CC4-5D6E-409C-BE32-E72D297353CC}">
              <c16:uniqueId val="{00000018-8091-44B4-824C-4C60A6B2E20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1523259889249744"/>
          <c:y val="0.17636780740643174"/>
          <c:w val="0.16696324680483188"/>
          <c:h val="0.7428638772673545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Data.xlsx]Peer Counselor Visits and After!PivotTable3</c:name>
    <c:fmtId val="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Comparison of Peer Counselor Visits and After-Hours Visits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408163265306121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14843"/>
                    <a:gd name="adj2" fmla="val 0"/>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097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635E-3"/>
              <c:y val="-4.24628450106157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1661807580174927E-2"/>
              <c:y val="2.547770700636942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7302"/>
                    <a:gd name="adj2" fmla="val -46029"/>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4.6647230320699708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03266"/>
                    <a:gd name="adj2" fmla="val -1"/>
                  </a:avLst>
                </a:prstGeom>
                <a:noFill/>
                <a:ln>
                  <a:noFill/>
                </a:ln>
              </c15:spPr>
            </c:ext>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577259475218658E-2"/>
              <c:y val="1.273885350318471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1043"/>
                    <a:gd name="adj2" fmla="val -14163"/>
                  </a:avLst>
                </a:prstGeom>
                <a:noFill/>
                <a:ln>
                  <a:noFill/>
                </a:ln>
              </c15:spPr>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8.7463556851311956E-3"/>
              <c:y val="-7.7847649883434352E-1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9818"/>
                    <a:gd name="adj2" fmla="val 7082"/>
                  </a:avLst>
                </a:prstGeom>
                <a:noFill/>
                <a:ln>
                  <a:noFill/>
                </a:ln>
              </c15:spPr>
            </c:ext>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635E-3"/>
              <c:y val="1.273885350318467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4786"/>
                    <a:gd name="adj2" fmla="val -28325"/>
                  </a:avLst>
                </a:prstGeom>
                <a:noFill/>
                <a:ln>
                  <a:noFill/>
                </a:ln>
              </c15:spPr>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4.373177842565597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4.373177842565597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577259475218658E-2"/>
              <c:y val="1.273885350318471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1043"/>
                    <a:gd name="adj2" fmla="val -14163"/>
                  </a:avLst>
                </a:prstGeom>
                <a:noFill/>
                <a:ln>
                  <a:noFill/>
                </a:ln>
              </c15:spPr>
            </c:ext>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8.7463556851311956E-3"/>
              <c:y val="-7.7847649883434352E-1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9818"/>
                    <a:gd name="adj2" fmla="val 7082"/>
                  </a:avLst>
                </a:prstGeom>
                <a:noFill/>
                <a:ln>
                  <a:noFill/>
                </a:ln>
              </c15:spPr>
            </c:ext>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1661807580174927E-2"/>
              <c:y val="2.547770700636942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7302"/>
                    <a:gd name="adj2" fmla="val -46029"/>
                  </a:avLst>
                </a:prstGeom>
                <a:noFill/>
                <a:ln>
                  <a:noFill/>
                </a:ln>
              </c15:spPr>
            </c:ext>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4.6647230320699708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03266"/>
                    <a:gd name="adj2" fmla="val -1"/>
                  </a:avLst>
                </a:prstGeom>
                <a:noFill/>
                <a:ln>
                  <a:noFill/>
                </a:ln>
              </c15:spPr>
            </c:ext>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635E-3"/>
              <c:y val="-4.24628450106157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097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408163265306121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14843"/>
                    <a:gd name="adj2" fmla="val 0"/>
                  </a:avLst>
                </a:prstGeom>
                <a:noFill/>
                <a:ln>
                  <a:noFill/>
                </a:ln>
              </c15:spPr>
            </c:ext>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635E-3"/>
              <c:y val="1.273885350318467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4786"/>
                    <a:gd name="adj2" fmla="val -28325"/>
                  </a:avLst>
                </a:prstGeom>
                <a:noFill/>
                <a:ln>
                  <a:noFill/>
                </a:ln>
              </c15:spPr>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4.3731778425655975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4577259475218658E-2"/>
              <c:y val="1.273885350318471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1043"/>
                    <a:gd name="adj2" fmla="val -14163"/>
                  </a:avLst>
                </a:prstGeom>
                <a:noFill/>
                <a:ln>
                  <a:noFill/>
                </a:ln>
              </c15:spPr>
            </c:ext>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8.7463556851311956E-3"/>
              <c:y val="-7.7847649883434352E-1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9818"/>
                    <a:gd name="adj2" fmla="val 7082"/>
                  </a:avLst>
                </a:prstGeom>
                <a:noFill/>
                <a:ln>
                  <a:noFill/>
                </a:ln>
              </c15:spPr>
            </c:ext>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1.1661807580174927E-2"/>
              <c:y val="2.547770700636942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7302"/>
                    <a:gd name="adj2" fmla="val -46029"/>
                  </a:avLst>
                </a:prstGeom>
                <a:noFill/>
                <a:ln>
                  <a:noFill/>
                </a:ln>
              </c15:spPr>
            </c:ext>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4.6647230320699708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03266"/>
                    <a:gd name="adj2" fmla="val -1"/>
                  </a:avLst>
                </a:prstGeom>
                <a:noFill/>
                <a:ln>
                  <a:noFill/>
                </a:ln>
              </c15:spPr>
            </c:ext>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635E-3"/>
              <c:y val="-4.24628450106157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097E-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0408163265306121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14843"/>
                    <a:gd name="adj2" fmla="val 0"/>
                  </a:avLst>
                </a:prstGeom>
                <a:noFill/>
                <a:ln>
                  <a:noFill/>
                </a:ln>
              </c15:spPr>
            </c:ext>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5.8309037900874635E-3"/>
              <c:y val="1.273885350318467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4786"/>
                    <a:gd name="adj2" fmla="val -28325"/>
                  </a:avLst>
                </a:prstGeom>
                <a:noFill/>
                <a:ln>
                  <a:noFill/>
                </a:ln>
              </c15:spPr>
            </c:ext>
          </c:extLst>
        </c:dLbl>
      </c:pivotFmt>
    </c:pivotFmts>
    <c:plotArea>
      <c:layout>
        <c:manualLayout>
          <c:layoutTarget val="inner"/>
          <c:xMode val="edge"/>
          <c:yMode val="edge"/>
          <c:x val="0.21718136974042485"/>
          <c:y val="0.24707161981258366"/>
          <c:w val="0.51108482801396182"/>
          <c:h val="0.57227532175947882"/>
        </c:manualLayout>
      </c:layout>
      <c:barChart>
        <c:barDir val="bar"/>
        <c:grouping val="clustered"/>
        <c:varyColors val="0"/>
        <c:ser>
          <c:idx val="0"/>
          <c:order val="0"/>
          <c:tx>
            <c:strRef>
              <c:f>'Peer Counselor Visits and After'!$B$3</c:f>
              <c:strCache>
                <c:ptCount val="1"/>
                <c:pt idx="0">
                  <c:v>Number of Peer Counselor Visits After 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'Peer Counselor Visits and After'!$A$4:$A$16</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'Peer Counselor Visits and After'!$B$4:$B$16</c:f>
              <c:numCache>
                <c:formatCode>General</c:formatCode>
                <c:ptCount val="12"/>
                <c:pt idx="0">
                  <c:v>1</c:v>
                </c:pt>
                <c:pt idx="1">
                  <c:v>0</c:v>
                </c:pt>
                <c:pt idx="2">
                  <c:v>0</c:v>
                </c:pt>
                <c:pt idx="3">
                  <c:v>0</c:v>
                </c:pt>
                <c:pt idx="4">
                  <c:v>0</c:v>
                </c:pt>
                <c:pt idx="5">
                  <c:v>0</c:v>
                </c:pt>
                <c:pt idx="6">
                  <c:v>0</c:v>
                </c:pt>
                <c:pt idx="7">
                  <c:v>0</c:v>
                </c:pt>
                <c:pt idx="8">
                  <c:v>0</c:v>
                </c:pt>
                <c:pt idx="9">
                  <c:v>1</c:v>
                </c:pt>
                <c:pt idx="10">
                  <c:v>0</c:v>
                </c:pt>
                <c:pt idx="11">
                  <c:v>0</c:v>
                </c:pt>
              </c:numCache>
            </c:numRef>
          </c:val>
          <c:extLst>
            <c:ext xmlns:c16="http://schemas.microsoft.com/office/drawing/2014/chart" uri="{C3380CC4-5D6E-409C-BE32-E72D297353CC}">
              <c16:uniqueId val="{00000000-046C-4F04-9A37-AEAEE924B09A}"/>
            </c:ext>
          </c:extLst>
        </c:ser>
        <c:ser>
          <c:idx val="1"/>
          <c:order val="1"/>
          <c:tx>
            <c:strRef>
              <c:f>'Peer Counselor Visits and After'!$C$3</c:f>
              <c:strCache>
                <c:ptCount val="1"/>
                <c:pt idx="0">
                  <c:v>Number of Peer Counselor Visits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1-046C-4F04-9A37-AEAEE924B09A}"/>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2-046C-4F04-9A37-AEAEE924B09A}"/>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46C-4F04-9A37-AEAEE924B09A}"/>
              </c:ext>
            </c:extLst>
          </c:dPt>
          <c:dPt>
            <c:idx val="6"/>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046C-4F04-9A37-AEAEE924B09A}"/>
              </c:ext>
            </c:extLst>
          </c:dPt>
          <c:dPt>
            <c:idx val="7"/>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5-046C-4F04-9A37-AEAEE924B09A}"/>
              </c:ext>
            </c:extLst>
          </c:dPt>
          <c:dPt>
            <c:idx val="8"/>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6-046C-4F04-9A37-AEAEE924B09A}"/>
              </c:ext>
            </c:extLst>
          </c:dPt>
          <c:dPt>
            <c:idx val="9"/>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7-046C-4F04-9A37-AEAEE924B09A}"/>
              </c:ext>
            </c:extLst>
          </c:dPt>
          <c:dPt>
            <c:idx val="1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046C-4F04-9A37-AEAEE924B09A}"/>
              </c:ext>
            </c:extLst>
          </c:dPt>
          <c:dPt>
            <c:idx val="1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9-046C-4F04-9A37-AEAEE924B09A}"/>
              </c:ext>
            </c:extLst>
          </c:dPt>
          <c:dLbls>
            <c:dLbl>
              <c:idx val="0"/>
              <c:layout>
                <c:manualLayout>
                  <c:x val="4.37317784256559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46C-4F04-9A37-AEAEE924B09A}"/>
                </c:ext>
              </c:extLst>
            </c:dLbl>
            <c:dLbl>
              <c:idx val="1"/>
              <c:layout>
                <c:manualLayout>
                  <c:x val="1.4577259475218658E-2"/>
                  <c:y val="1.273885350318471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41043"/>
                        <a:gd name="adj2" fmla="val -14163"/>
                      </a:avLst>
                    </a:prstGeom>
                    <a:noFill/>
                    <a:ln>
                      <a:noFill/>
                    </a:ln>
                  </c15:spPr>
                </c:ext>
                <c:ext xmlns:c16="http://schemas.microsoft.com/office/drawing/2014/chart" uri="{C3380CC4-5D6E-409C-BE32-E72D297353CC}">
                  <c16:uniqueId val="{00000002-046C-4F04-9A37-AEAEE924B09A}"/>
                </c:ext>
              </c:extLst>
            </c:dLbl>
            <c:dLbl>
              <c:idx val="2"/>
              <c:layout>
                <c:manualLayout>
                  <c:x val="8.7463556851311956E-3"/>
                  <c:y val="-7.7847649883434352E-17"/>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9818"/>
                        <a:gd name="adj2" fmla="val 7082"/>
                      </a:avLst>
                    </a:prstGeom>
                    <a:noFill/>
                    <a:ln>
                      <a:noFill/>
                    </a:ln>
                  </c15:spPr>
                </c:ext>
                <c:ext xmlns:c16="http://schemas.microsoft.com/office/drawing/2014/chart" uri="{C3380CC4-5D6E-409C-BE32-E72D297353CC}">
                  <c16:uniqueId val="{00000003-046C-4F04-9A37-AEAEE924B09A}"/>
                </c:ext>
              </c:extLst>
            </c:dLbl>
            <c:dLbl>
              <c:idx val="6"/>
              <c:layout>
                <c:manualLayout>
                  <c:x val="1.1661807580174927E-2"/>
                  <c:y val="2.547770700636942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7302"/>
                        <a:gd name="adj2" fmla="val -46029"/>
                      </a:avLst>
                    </a:prstGeom>
                    <a:noFill/>
                    <a:ln>
                      <a:noFill/>
                    </a:ln>
                  </c15:spPr>
                </c:ext>
                <c:ext xmlns:c16="http://schemas.microsoft.com/office/drawing/2014/chart" uri="{C3380CC4-5D6E-409C-BE32-E72D297353CC}">
                  <c16:uniqueId val="{00000004-046C-4F04-9A37-AEAEE924B09A}"/>
                </c:ext>
              </c:extLst>
            </c:dLbl>
            <c:dLbl>
              <c:idx val="7"/>
              <c:layout>
                <c:manualLayout>
                  <c:x val="4.6647230320699708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03266"/>
                        <a:gd name="adj2" fmla="val -1"/>
                      </a:avLst>
                    </a:prstGeom>
                    <a:noFill/>
                    <a:ln>
                      <a:noFill/>
                    </a:ln>
                  </c15:spPr>
                </c:ext>
                <c:ext xmlns:c16="http://schemas.microsoft.com/office/drawing/2014/chart" uri="{C3380CC4-5D6E-409C-BE32-E72D297353CC}">
                  <c16:uniqueId val="{00000005-046C-4F04-9A37-AEAEE924B09A}"/>
                </c:ext>
              </c:extLst>
            </c:dLbl>
            <c:dLbl>
              <c:idx val="8"/>
              <c:layout>
                <c:manualLayout>
                  <c:x val="5.8309037900874635E-3"/>
                  <c:y val="-4.2462845010615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C-4F04-9A37-AEAEE924B09A}"/>
                </c:ext>
              </c:extLst>
            </c:dLbl>
            <c:dLbl>
              <c:idx val="9"/>
              <c:layout>
                <c:manualLayout>
                  <c:x val="5.8309037900874097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46C-4F04-9A37-AEAEE924B09A}"/>
                </c:ext>
              </c:extLst>
            </c:dLbl>
            <c:dLbl>
              <c:idx val="10"/>
              <c:layout>
                <c:manualLayout>
                  <c:x val="2.0408163265306121E-2"/>
                  <c:y val="0"/>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114843"/>
                        <a:gd name="adj2" fmla="val 0"/>
                      </a:avLst>
                    </a:prstGeom>
                    <a:noFill/>
                    <a:ln>
                      <a:noFill/>
                    </a:ln>
                  </c15:spPr>
                </c:ext>
                <c:ext xmlns:c16="http://schemas.microsoft.com/office/drawing/2014/chart" uri="{C3380CC4-5D6E-409C-BE32-E72D297353CC}">
                  <c16:uniqueId val="{00000008-046C-4F04-9A37-AEAEE924B09A}"/>
                </c:ext>
              </c:extLst>
            </c:dLbl>
            <c:dLbl>
              <c:idx val="11"/>
              <c:layout>
                <c:manualLayout>
                  <c:x val="5.8309037900874635E-3"/>
                  <c:y val="1.2738853503184674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4786"/>
                        <a:gd name="adj2" fmla="val -28325"/>
                      </a:avLst>
                    </a:prstGeom>
                    <a:noFill/>
                    <a:ln>
                      <a:noFill/>
                    </a:ln>
                  </c15:spPr>
                </c:ext>
                <c:ext xmlns:c16="http://schemas.microsoft.com/office/drawing/2014/chart" uri="{C3380CC4-5D6E-409C-BE32-E72D297353CC}">
                  <c16:uniqueId val="{00000009-046C-4F04-9A37-AEAEE924B0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'Peer Counselor Visits and After'!$A$4:$A$16</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'Peer Counselor Visits and After'!$C$4:$C$16</c:f>
              <c:numCache>
                <c:formatCode>General</c:formatCode>
                <c:ptCount val="12"/>
                <c:pt idx="0">
                  <c:v>0</c:v>
                </c:pt>
                <c:pt idx="1">
                  <c:v>80</c:v>
                </c:pt>
                <c:pt idx="2">
                  <c:v>108</c:v>
                </c:pt>
                <c:pt idx="3">
                  <c:v>84</c:v>
                </c:pt>
                <c:pt idx="4">
                  <c:v>0</c:v>
                </c:pt>
                <c:pt idx="5">
                  <c:v>0</c:v>
                </c:pt>
                <c:pt idx="6">
                  <c:v>101</c:v>
                </c:pt>
                <c:pt idx="7">
                  <c:v>91</c:v>
                </c:pt>
                <c:pt idx="8">
                  <c:v>82</c:v>
                </c:pt>
                <c:pt idx="9">
                  <c:v>64</c:v>
                </c:pt>
                <c:pt idx="10">
                  <c:v>99</c:v>
                </c:pt>
                <c:pt idx="11">
                  <c:v>126</c:v>
                </c:pt>
              </c:numCache>
            </c:numRef>
          </c:val>
          <c:extLst>
            <c:ext xmlns:c16="http://schemas.microsoft.com/office/drawing/2014/chart" uri="{C3380CC4-5D6E-409C-BE32-E72D297353CC}">
              <c16:uniqueId val="{0000000A-046C-4F04-9A37-AEAEE924B09A}"/>
            </c:ext>
          </c:extLst>
        </c:ser>
        <c:dLbls>
          <c:showLegendKey val="0"/>
          <c:showVal val="0"/>
          <c:showCatName val="0"/>
          <c:showSerName val="0"/>
          <c:showPercent val="0"/>
          <c:showBubbleSize val="0"/>
        </c:dLbls>
        <c:gapWidth val="100"/>
        <c:axId val="1765887968"/>
        <c:axId val="1765888928"/>
      </c:barChart>
      <c:catAx>
        <c:axId val="1765887968"/>
        <c:scaling>
          <c:orientation val="minMax"/>
        </c:scaling>
        <c:delete val="0"/>
        <c:axPos val="l"/>
        <c:title>
          <c:tx>
            <c:rich>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Month</a:t>
                </a:r>
              </a:p>
            </c:rich>
          </c:tx>
          <c:overlay val="0"/>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65888928"/>
        <c:crosses val="autoZero"/>
        <c:auto val="1"/>
        <c:lblAlgn val="ctr"/>
        <c:lblOffset val="100"/>
        <c:noMultiLvlLbl val="0"/>
      </c:catAx>
      <c:valAx>
        <c:axId val="1765888928"/>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r>
                  <a:rPr lang="en-US">
                    <a:solidFill>
                      <a:sysClr val="windowText" lastClr="000000"/>
                    </a:solidFill>
                  </a:rPr>
                  <a:t>Number of Visits</a:t>
                </a:r>
              </a:p>
            </c:rich>
          </c:tx>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65887968"/>
        <c:crosses val="autoZero"/>
        <c:crossBetween val="between"/>
        <c:majorUnit val="20"/>
      </c:valAx>
      <c:spPr>
        <a:noFill/>
        <a:ln>
          <a:noFill/>
        </a:ln>
        <a:effectLst/>
      </c:spPr>
    </c:plotArea>
    <c:legend>
      <c:legendPos val="r"/>
      <c:layout>
        <c:manualLayout>
          <c:xMode val="edge"/>
          <c:yMode val="edge"/>
          <c:x val="0.74512921461740356"/>
          <c:y val="0.45515296092506508"/>
          <c:w val="0.2375457680575791"/>
          <c:h val="0.3116652963560277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[WIC Data.xlsx]Monthly WIC Participation!PivotTable2</c:name>
    <c:fmtId val="6"/>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Monthly WIC Participation Trend</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3888888888888914E-2"/>
              <c:y val="-6.48148148148148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6061E-3"/>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9444444444444445E-2"/>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1369483611060245E-2"/>
              <c:y val="-7.1641299529247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5558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7779E-3"/>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676E-3"/>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3333333333334356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4534E-3"/>
              <c:y val="-5.55555555555555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2480543856436549E-2"/>
              <c:y val="6.55472757594308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1240386376121696E-2"/>
              <c:y val="-7.16412995292478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3888888888888914E-2"/>
              <c:y val="-6.48148148148148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6061E-3"/>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9444444444444445E-2"/>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1369483611060245E-2"/>
              <c:y val="-7.1641299529247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5558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7779E-3"/>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676E-3"/>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3333333333334356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4534E-3"/>
              <c:y val="-5.55555555555555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2480543856436549E-2"/>
              <c:y val="6.55472757594308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1240386376121696E-2"/>
              <c:y val="-7.16412995292478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3888888888888914E-2"/>
              <c:y val="-6.481481481481485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6061E-3"/>
              <c:y val="-4.62962962962963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0"/>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9444444444444445E-2"/>
              <c:y val="5.0925925925925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1369483611060245E-2"/>
              <c:y val="-7.1641299529247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5558E-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7779E-3"/>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777777777777676E-3"/>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8.3333333333334356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5555555555554534E-3"/>
              <c:y val="-5.55555555555555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2.2480543856436549E-2"/>
              <c:y val="6.554727575943088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1.1240386376121696E-2"/>
              <c:y val="-7.164129952924787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'Monthly WIC Participation'!$B$3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0-7EC7-40B2-8FF5-35CC904C4BCE}"/>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1-7EC7-40B2-8FF5-35CC904C4BCE}"/>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2-7EC7-40B2-8FF5-35CC904C4BCE}"/>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3-7EC7-40B2-8FF5-35CC904C4BCE}"/>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4-7EC7-40B2-8FF5-35CC904C4BCE}"/>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5-7EC7-40B2-8FF5-35CC904C4BCE}"/>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6-7EC7-40B2-8FF5-35CC904C4BCE}"/>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7-7EC7-40B2-8FF5-35CC904C4BCE}"/>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8-7EC7-40B2-8FF5-35CC904C4BCE}"/>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9-7EC7-40B2-8FF5-35CC904C4BCE}"/>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A-7EC7-40B2-8FF5-35CC904C4BCE}"/>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1"/>
                </a:solidFill>
                <a:round/>
              </a:ln>
              <a:effectLst/>
            </c:spPr>
            <c:extLst>
              <c:ext xmlns:c16="http://schemas.microsoft.com/office/drawing/2014/chart" uri="{C3380CC4-5D6E-409C-BE32-E72D297353CC}">
                <c16:uniqueId val="{0000000B-7EC7-40B2-8FF5-35CC904C4BCE}"/>
              </c:ext>
            </c:extLst>
          </c:dPt>
          <c:dLbls>
            <c:dLbl>
              <c:idx val="0"/>
              <c:layout>
                <c:manualLayout>
                  <c:x val="-1.3888888888888914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C7-40B2-8FF5-35CC904C4BCE}"/>
                </c:ext>
              </c:extLst>
            </c:dLbl>
            <c:dLbl>
              <c:idx val="1"/>
              <c:layout>
                <c:manualLayout>
                  <c:x val="-5.5555555555556061E-3"/>
                  <c:y val="-4.6296296296296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C7-40B2-8FF5-35CC904C4BCE}"/>
                </c:ext>
              </c:extLst>
            </c:dLbl>
            <c:dLbl>
              <c:idx val="2"/>
              <c:layout>
                <c:manualLayout>
                  <c:x val="0"/>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C7-40B2-8FF5-35CC904C4BCE}"/>
                </c:ext>
              </c:extLst>
            </c:dLbl>
            <c:dLbl>
              <c:idx val="3"/>
              <c:layout>
                <c:manualLayout>
                  <c:x val="-1.9444444444444445E-2"/>
                  <c:y val="5.092592592592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C7-40B2-8FF5-35CC904C4BCE}"/>
                </c:ext>
              </c:extLst>
            </c:dLbl>
            <c:dLbl>
              <c:idx val="4"/>
              <c:layout>
                <c:manualLayout>
                  <c:x val="-1.1369483611060245E-2"/>
                  <c:y val="-7.1641299529247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C7-40B2-8FF5-35CC904C4BCE}"/>
                </c:ext>
              </c:extLst>
            </c:dLbl>
            <c:dLbl>
              <c:idx val="5"/>
              <c:layout>
                <c:manualLayout>
                  <c:x val="5.5555555555555558E-3"/>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C7-40B2-8FF5-35CC904C4BCE}"/>
                </c:ext>
              </c:extLst>
            </c:dLbl>
            <c:dLbl>
              <c:idx val="6"/>
              <c:layout>
                <c:manualLayout>
                  <c:x val="-2.7777777777777779E-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EC7-40B2-8FF5-35CC904C4BCE}"/>
                </c:ext>
              </c:extLst>
            </c:dLbl>
            <c:dLbl>
              <c:idx val="7"/>
              <c:layout>
                <c:manualLayout>
                  <c:x val="2.777777777777676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C7-40B2-8FF5-35CC904C4BCE}"/>
                </c:ext>
              </c:extLst>
            </c:dLbl>
            <c:dLbl>
              <c:idx val="8"/>
              <c:layout>
                <c:manualLayout>
                  <c:x val="-8.3333333333334356E-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EC7-40B2-8FF5-35CC904C4BCE}"/>
                </c:ext>
              </c:extLst>
            </c:dLbl>
            <c:dLbl>
              <c:idx val="9"/>
              <c:layout>
                <c:manualLayout>
                  <c:x val="-5.5555555555554534E-3"/>
                  <c:y val="-5.55555555555555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C7-40B2-8FF5-35CC904C4BCE}"/>
                </c:ext>
              </c:extLst>
            </c:dLbl>
            <c:dLbl>
              <c:idx val="10"/>
              <c:layout>
                <c:manualLayout>
                  <c:x val="-2.2480543856436549E-2"/>
                  <c:y val="6.55472757594308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EC7-40B2-8FF5-35CC904C4BCE}"/>
                </c:ext>
              </c:extLst>
            </c:dLbl>
            <c:dLbl>
              <c:idx val="11"/>
              <c:layout>
                <c:manualLayout>
                  <c:x val="-1.1240386376121696E-2"/>
                  <c:y val="-7.1641299529247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C7-40B2-8FF5-35CC904C4BC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'Monthly WIC Participation'!$A$4:$A$16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WIC Participation'!$B$4:$B$16</c:f>
              <c:numCache>
                <c:formatCode>General</c:formatCode>
                <c:ptCount val="12"/>
                <c:pt idx="0">
                  <c:v>2379</c:v>
                </c:pt>
                <c:pt idx="1">
                  <c:v>2407</c:v>
                </c:pt>
                <c:pt idx="2">
                  <c:v>2377</c:v>
                </c:pt>
                <c:pt idx="3">
                  <c:v>2362</c:v>
                </c:pt>
                <c:pt idx="4">
                  <c:v>2359</c:v>
                </c:pt>
                <c:pt idx="5">
                  <c:v>2401</c:v>
                </c:pt>
                <c:pt idx="6">
                  <c:v>0</c:v>
                </c:pt>
                <c:pt idx="7">
                  <c:v>0</c:v>
                </c:pt>
                <c:pt idx="8">
                  <c:v>2485</c:v>
                </c:pt>
                <c:pt idx="9">
                  <c:v>2528</c:v>
                </c:pt>
                <c:pt idx="10">
                  <c:v>2458</c:v>
                </c:pt>
                <c:pt idx="11">
                  <c:v>2396</c:v>
                </c:pt>
              </c:numCache>
            </c:numRef>
          </c:val>
          <c:smooth val="0"/>
          <c:extLst>
            <c:ext xmlns:c16="http://schemas.microsoft.com/office/drawing/2014/chart" uri="{C3380CC4-5D6E-409C-BE32-E72D297353CC}">
              <c16:uniqueId val="{0000000C-7EC7-40B2-8FF5-35CC904C4BCE}"/>
            </c:ext>
          </c:extLst>
        </c:ser>
        <c:dLbls>
          <c:showLegendKey val="0"/>
          <c:showVal val="0"/>
          <c:showCatName val="0"/>
          <c:showSerName val="0"/>
          <c:showPercent val="0"/>
          <c:showBubbleSize val="0"/>
        </c:dLbls>
        <c:marker val="1"/>
        <c:smooth val="0"/>
        <c:axId val="1341891504"/>
        <c:axId val="1341903984"/>
      </c:lineChart>
      <c:catAx>
        <c:axId val="1341891504"/>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Month</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1903984"/>
        <c:crosses val="autoZero"/>
        <c:auto val="1"/>
        <c:lblAlgn val="ctr"/>
        <c:lblOffset val="100"/>
        <c:noMultiLvlLbl val="0"/>
      </c:catAx>
      <c:valAx>
        <c:axId val="13419039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a:solidFill>
                      <a:sysClr val="windowText" lastClr="000000"/>
                    </a:solidFill>
                  </a:rPr>
                  <a:t>Number of Participants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4189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283369</xdr:colOff>
      <xdr:row>0</xdr:row>
      <xdr:rowOff>0</xdr:rowOff>
    </xdr:from>
    <xdr:to>
      <xdr:col>10</xdr:col>
      <xdr:colOff>416719</xdr:colOff>
      <xdr:row>16</xdr:row>
      <xdr:rowOff>88900</xdr:rowOff>
    </xdr:to>
    <xdr:graphicFrame macro="">
      <xdr:nvGraphicFramePr>
        <xdr:cNvPr id="2" name="Chart 1">
          <a:extLst>
            <a:ext uri="{FF2B5EF4-FFF2-40B4-BE49-F238E27FC236}">
              <a16:creationId xmlns:a16="http://schemas.microsoft.com/office/drawing/2014/main" id="{6BC76450-6288-47E9-B2EF-6B919D9E9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413941</xdr:colOff>
      <xdr:row>0</xdr:row>
      <xdr:rowOff>0</xdr:rowOff>
    </xdr:from>
    <xdr:to>
      <xdr:col>17</xdr:col>
      <xdr:colOff>545005</xdr:colOff>
      <xdr:row>16</xdr:row>
      <xdr:rowOff>89408</xdr:rowOff>
    </xdr:to>
    <xdr:graphicFrame macro="">
      <xdr:nvGraphicFramePr>
        <xdr:cNvPr id="3" name="Chart 2">
          <a:extLst>
            <a:ext uri="{FF2B5EF4-FFF2-40B4-BE49-F238E27FC236}">
              <a16:creationId xmlns:a16="http://schemas.microsoft.com/office/drawing/2014/main" id="{CE96D679-C10E-4AF0-A163-6D3FC9623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299641</xdr:colOff>
      <xdr:row>16</xdr:row>
      <xdr:rowOff>88900</xdr:rowOff>
    </xdr:from>
    <xdr:to>
      <xdr:col>10</xdr:col>
      <xdr:colOff>426641</xdr:colOff>
      <xdr:row>32</xdr:row>
      <xdr:rowOff>178308</xdr:rowOff>
    </xdr:to>
    <xdr:graphicFrame macro="">
      <xdr:nvGraphicFramePr>
        <xdr:cNvPr id="4" name="Chart 3">
          <a:extLst>
            <a:ext uri="{FF2B5EF4-FFF2-40B4-BE49-F238E27FC236}">
              <a16:creationId xmlns:a16="http://schemas.microsoft.com/office/drawing/2014/main" id="{CEB531D8-5811-4469-B2E7-9C15FAC0F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416719</xdr:colOff>
      <xdr:row>16</xdr:row>
      <xdr:rowOff>87686</xdr:rowOff>
    </xdr:from>
    <xdr:to>
      <xdr:col>17</xdr:col>
      <xdr:colOff>547783</xdr:colOff>
      <xdr:row>32</xdr:row>
      <xdr:rowOff>177094</xdr:rowOff>
    </xdr:to>
    <xdr:graphicFrame macro="">
      <xdr:nvGraphicFramePr>
        <xdr:cNvPr id="5" name="Chart 4">
          <a:extLst>
            <a:ext uri="{FF2B5EF4-FFF2-40B4-BE49-F238E27FC236}">
              <a16:creationId xmlns:a16="http://schemas.microsoft.com/office/drawing/2014/main" id="{6E47EEDF-B808-4E20-AACF-8B963FE31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553641</xdr:colOff>
      <xdr:row>0</xdr:row>
      <xdr:rowOff>0</xdr:rowOff>
    </xdr:from>
    <xdr:to>
      <xdr:col>25</xdr:col>
      <xdr:colOff>79471</xdr:colOff>
      <xdr:row>16</xdr:row>
      <xdr:rowOff>89408</xdr:rowOff>
    </xdr:to>
    <xdr:graphicFrame macro="">
      <xdr:nvGraphicFramePr>
        <xdr:cNvPr id="6" name="Chart 5">
          <a:extLst>
            <a:ext uri="{FF2B5EF4-FFF2-40B4-BE49-F238E27FC236}">
              <a16:creationId xmlns:a16="http://schemas.microsoft.com/office/drawing/2014/main" id="{8EC002EF-8C87-48E3-BDA6-DF3648FBA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553641</xdr:colOff>
      <xdr:row>16</xdr:row>
      <xdr:rowOff>88900</xdr:rowOff>
    </xdr:from>
    <xdr:to>
      <xdr:col>25</xdr:col>
      <xdr:colOff>79471</xdr:colOff>
      <xdr:row>32</xdr:row>
      <xdr:rowOff>178308</xdr:rowOff>
    </xdr:to>
    <xdr:graphicFrame macro="">
      <xdr:nvGraphicFramePr>
        <xdr:cNvPr id="7" name="Chart 6">
          <a:extLst>
            <a:ext uri="{FF2B5EF4-FFF2-40B4-BE49-F238E27FC236}">
              <a16:creationId xmlns:a16="http://schemas.microsoft.com/office/drawing/2014/main" id="{3E0B90F0-B825-4892-AF15-0A2019A5F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80962</xdr:colOff>
      <xdr:row>7</xdr:row>
      <xdr:rowOff>50402</xdr:rowOff>
    </xdr:from>
    <xdr:to>
      <xdr:col>3</xdr:col>
      <xdr:colOff>94059</xdr:colOff>
      <xdr:row>26</xdr:row>
      <xdr:rowOff>79374</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34959772-53DF-2A77-32A6-8C4003FB9B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0962" y="1370011"/>
              <a:ext cx="1828800" cy="3610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v Rao" refreshedDate="45861.426928009256" createdVersion="8" refreshedVersion="8" minRefreshableVersion="3" recordCount="12" xr:uid="{EA7DFCCE-8307-48FD-8B0E-A0BD577C3E86}">
  <cacheSource type="worksheet">
    <worksheetSource name="WICData"/>
  </cacheSource>
  <cacheFields count="9">
    <cacheField name="Month" numFmtId="0">
      <sharedItems count="12">
        <s v="January"/>
        <s v="February"/>
        <s v="March"/>
        <s v="April"/>
        <s v="May"/>
        <s v="June"/>
        <s v="July"/>
        <s v="August"/>
        <s v="September"/>
        <s v="October"/>
        <s v="November"/>
        <s v="December"/>
      </sharedItems>
    </cacheField>
    <cacheField name="Registration Processing and Assistance" numFmtId="0">
      <sharedItems containsSemiMixedTypes="0" containsString="0" containsNumber="1" containsInteger="1" minValue="0" maxValue="707"/>
    </cacheField>
    <cacheField name="Participation" numFmtId="0">
      <sharedItems containsSemiMixedTypes="0" containsString="0" containsNumber="1" containsInteger="1" minValue="0" maxValue="2528" count="11">
        <n v="2379"/>
        <n v="2407"/>
        <n v="2377"/>
        <n v="2362"/>
        <n v="2359"/>
        <n v="2401"/>
        <n v="0"/>
        <n v="2485"/>
        <n v="2528"/>
        <n v="2458"/>
        <n v="2396"/>
      </sharedItems>
    </cacheField>
    <cacheField name="Peer Counselor Visits" numFmtId="0">
      <sharedItems containsMixedTypes="1" containsNumber="1" containsInteger="1" minValue="0" maxValue="126"/>
    </cacheField>
    <cacheField name="Peer Counselor Visits After Hours" numFmtId="0">
      <sharedItems containsSemiMixedTypes="0" containsString="0" containsNumber="1" containsInteger="1" minValue="0" maxValue="1"/>
    </cacheField>
    <cacheField name="Location Counseling Visits" numFmtId="0">
      <sharedItems containsSemiMixedTypes="0" containsString="0" containsNumber="1" containsInteger="1" minValue="0" maxValue="62"/>
    </cacheField>
    <cacheField name="Client Education" numFmtId="0">
      <sharedItems containsSemiMixedTypes="0" containsString="0" containsNumber="1" containsInteger="1" minValue="0" maxValue="2528"/>
    </cacheField>
    <cacheField name="In-House Labs (kgb)" numFmtId="0">
      <sharedItems containsSemiMixedTypes="0" containsString="0" containsNumber="1" containsInteger="1" minValue="0" maxValue="341"/>
    </cacheField>
    <cacheField name="Apply Now: TexasWIC.org" numFmtId="0">
      <sharedItems containsSemiMixedTypes="0" containsString="0" containsNumber="1" containsInteger="1" minValue="0" maxValue="62"/>
    </cacheField>
  </cacheFields>
  <extLst>
    <ext xmlns:x14="http://schemas.microsoft.com/office/spreadsheetml/2009/9/main" uri="{725AE2AE-9491-48be-B2B4-4EB974FC3084}">
      <x14:pivotCacheDefinition pivotCacheId="1518347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694"/>
    <x v="0"/>
    <n v="126"/>
    <n v="0"/>
    <n v="21"/>
    <n v="2379"/>
    <n v="267"/>
    <n v="60"/>
  </r>
  <r>
    <x v="1"/>
    <n v="578"/>
    <x v="1"/>
    <n v="99"/>
    <n v="0"/>
    <n v="32"/>
    <n v="2407"/>
    <n v="258"/>
    <n v="46"/>
  </r>
  <r>
    <x v="2"/>
    <n v="0"/>
    <x v="2"/>
    <n v="64"/>
    <n v="1"/>
    <n v="28"/>
    <n v="2377"/>
    <n v="211"/>
    <n v="47"/>
  </r>
  <r>
    <x v="3"/>
    <n v="0"/>
    <x v="3"/>
    <n v="82"/>
    <n v="0"/>
    <n v="62"/>
    <n v="2362"/>
    <n v="265"/>
    <n v="62"/>
  </r>
  <r>
    <x v="4"/>
    <n v="0"/>
    <x v="4"/>
    <n v="91"/>
    <n v="0"/>
    <n v="46"/>
    <n v="2359"/>
    <n v="241"/>
    <n v="57"/>
  </r>
  <r>
    <x v="5"/>
    <n v="0"/>
    <x v="5"/>
    <n v="101"/>
    <n v="0"/>
    <n v="26"/>
    <n v="0"/>
    <n v="270"/>
    <n v="0"/>
  </r>
  <r>
    <x v="6"/>
    <n v="0"/>
    <x v="6"/>
    <n v="0"/>
    <n v="0"/>
    <n v="0"/>
    <n v="0"/>
    <n v="0"/>
    <n v="0"/>
  </r>
  <r>
    <x v="7"/>
    <n v="0"/>
    <x v="6"/>
    <n v="0"/>
    <n v="0"/>
    <n v="0"/>
    <n v="0"/>
    <n v="0"/>
    <n v="0"/>
  </r>
  <r>
    <x v="8"/>
    <n v="0"/>
    <x v="7"/>
    <n v="84"/>
    <n v="0"/>
    <n v="42"/>
    <n v="2485"/>
    <n v="276"/>
    <n v="39"/>
  </r>
  <r>
    <x v="9"/>
    <n v="707"/>
    <x v="8"/>
    <n v="108"/>
    <n v="0"/>
    <n v="23"/>
    <n v="2528"/>
    <n v="341"/>
    <n v="38"/>
  </r>
  <r>
    <x v="10"/>
    <n v="571"/>
    <x v="9"/>
    <n v="80"/>
    <n v="0"/>
    <n v="28"/>
    <n v="2458"/>
    <n v="226"/>
    <n v="36"/>
  </r>
  <r>
    <x v="11"/>
    <n v="599"/>
    <x v="10"/>
    <s v="60+"/>
    <n v="1"/>
    <n v="48"/>
    <n v="2396"/>
    <n v="196"/>
    <n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3DFFE2-7696-4DA7-8E62-54EF346F804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9">
    <pivotField axis="axisRow" showAll="0">
      <items count="13">
        <item x="0"/>
        <item x="1"/>
        <item x="2"/>
        <item x="3"/>
        <item x="4"/>
        <item x="5"/>
        <item x="6"/>
        <item x="7"/>
        <item x="8"/>
        <item x="9"/>
        <item x="10"/>
        <item x="11"/>
        <item t="default"/>
      </items>
    </pivotField>
    <pivotField showAll="0"/>
    <pivotField showAll="0">
      <items count="12">
        <item x="6"/>
        <item x="4"/>
        <item x="3"/>
        <item x="2"/>
        <item x="0"/>
        <item x="10"/>
        <item x="5"/>
        <item x="1"/>
        <item x="9"/>
        <item x="7"/>
        <item x="8"/>
        <item t="default"/>
      </items>
    </pivotField>
    <pivotField showAll="0"/>
    <pivotField showAll="0"/>
    <pivotField showAll="0"/>
    <pivotField dataField="1"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Client Education" fld="6" baseField="0" baseItem="0"/>
  </dataFields>
  <chartFormats count="12">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0" count="1" selected="0">
            <x v="0"/>
          </reference>
        </references>
      </pivotArea>
    </chartFormat>
    <chartFormat chart="6" format="26">
      <pivotArea type="data" outline="0" fieldPosition="0">
        <references count="2">
          <reference field="4294967294" count="1" selected="0">
            <x v="0"/>
          </reference>
          <reference field="0" count="1" selected="0">
            <x v="1"/>
          </reference>
        </references>
      </pivotArea>
    </chartFormat>
    <chartFormat chart="6" format="27">
      <pivotArea type="data" outline="0" fieldPosition="0">
        <references count="2">
          <reference field="4294967294" count="1" selected="0">
            <x v="0"/>
          </reference>
          <reference field="0" count="1" selected="0">
            <x v="2"/>
          </reference>
        </references>
      </pivotArea>
    </chartFormat>
    <chartFormat chart="6" format="28">
      <pivotArea type="data" outline="0" fieldPosition="0">
        <references count="2">
          <reference field="4294967294" count="1" selected="0">
            <x v="0"/>
          </reference>
          <reference field="0" count="1" selected="0">
            <x v="3"/>
          </reference>
        </references>
      </pivotArea>
    </chartFormat>
    <chartFormat chart="6" format="29">
      <pivotArea type="data" outline="0" fieldPosition="0">
        <references count="2">
          <reference field="4294967294" count="1" selected="0">
            <x v="0"/>
          </reference>
          <reference field="0" count="1" selected="0">
            <x v="5"/>
          </reference>
        </references>
      </pivotArea>
    </chartFormat>
    <chartFormat chart="6" format="30">
      <pivotArea type="data" outline="0" fieldPosition="0">
        <references count="2">
          <reference field="4294967294" count="1" selected="0">
            <x v="0"/>
          </reference>
          <reference field="0" count="1" selected="0">
            <x v="6"/>
          </reference>
        </references>
      </pivotArea>
    </chartFormat>
    <chartFormat chart="6" format="31">
      <pivotArea type="data" outline="0" fieldPosition="0">
        <references count="2">
          <reference field="4294967294" count="1" selected="0">
            <x v="0"/>
          </reference>
          <reference field="0" count="1" selected="0">
            <x v="7"/>
          </reference>
        </references>
      </pivotArea>
    </chartFormat>
    <chartFormat chart="6" format="32">
      <pivotArea type="data" outline="0" fieldPosition="0">
        <references count="2">
          <reference field="4294967294" count="1" selected="0">
            <x v="0"/>
          </reference>
          <reference field="0" count="1" selected="0">
            <x v="8"/>
          </reference>
        </references>
      </pivotArea>
    </chartFormat>
    <chartFormat chart="6" format="33">
      <pivotArea type="data" outline="0" fieldPosition="0">
        <references count="2">
          <reference field="4294967294" count="1" selected="0">
            <x v="0"/>
          </reference>
          <reference field="0" count="1" selected="0">
            <x v="9"/>
          </reference>
        </references>
      </pivotArea>
    </chartFormat>
    <chartFormat chart="6" format="34">
      <pivotArea type="data" outline="0" fieldPosition="0">
        <references count="2">
          <reference field="4294967294" count="1" selected="0">
            <x v="0"/>
          </reference>
          <reference field="0" count="1" selected="0">
            <x v="10"/>
          </reference>
        </references>
      </pivotArea>
    </chartFormat>
    <chartFormat chart="6" format="35">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8245C-97D2-4FBF-89DE-172FAE9F5D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9">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Apply Now: TexasWIC.org" fld="8" baseField="0" baseItem="0"/>
  </dataFields>
  <chartFormats count="13">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0" count="1" selected="0">
            <x v="0"/>
          </reference>
        </references>
      </pivotArea>
    </chartFormat>
    <chartFormat chart="6" format="28">
      <pivotArea type="data" outline="0" fieldPosition="0">
        <references count="2">
          <reference field="4294967294" count="1" selected="0">
            <x v="0"/>
          </reference>
          <reference field="0" count="1" selected="0">
            <x v="1"/>
          </reference>
        </references>
      </pivotArea>
    </chartFormat>
    <chartFormat chart="6" format="29">
      <pivotArea type="data" outline="0" fieldPosition="0">
        <references count="2">
          <reference field="4294967294" count="1" selected="0">
            <x v="0"/>
          </reference>
          <reference field="0" count="1" selected="0">
            <x v="2"/>
          </reference>
        </references>
      </pivotArea>
    </chartFormat>
    <chartFormat chart="6" format="30">
      <pivotArea type="data" outline="0" fieldPosition="0">
        <references count="2">
          <reference field="4294967294" count="1" selected="0">
            <x v="0"/>
          </reference>
          <reference field="0" count="1" selected="0">
            <x v="3"/>
          </reference>
        </references>
      </pivotArea>
    </chartFormat>
    <chartFormat chart="6" format="31">
      <pivotArea type="data" outline="0" fieldPosition="0">
        <references count="2">
          <reference field="4294967294" count="1" selected="0">
            <x v="0"/>
          </reference>
          <reference field="0" count="1" selected="0">
            <x v="4"/>
          </reference>
        </references>
      </pivotArea>
    </chartFormat>
    <chartFormat chart="6" format="32">
      <pivotArea type="data" outline="0" fieldPosition="0">
        <references count="2">
          <reference field="4294967294" count="1" selected="0">
            <x v="0"/>
          </reference>
          <reference field="0" count="1" selected="0">
            <x v="5"/>
          </reference>
        </references>
      </pivotArea>
    </chartFormat>
    <chartFormat chart="6" format="33">
      <pivotArea type="data" outline="0" fieldPosition="0">
        <references count="2">
          <reference field="4294967294" count="1" selected="0">
            <x v="0"/>
          </reference>
          <reference field="0" count="1" selected="0">
            <x v="6"/>
          </reference>
        </references>
      </pivotArea>
    </chartFormat>
    <chartFormat chart="6" format="34">
      <pivotArea type="data" outline="0" fieldPosition="0">
        <references count="2">
          <reference field="4294967294" count="1" selected="0">
            <x v="0"/>
          </reference>
          <reference field="0" count="1" selected="0">
            <x v="7"/>
          </reference>
        </references>
      </pivotArea>
    </chartFormat>
    <chartFormat chart="6" format="35">
      <pivotArea type="data" outline="0" fieldPosition="0">
        <references count="2">
          <reference field="4294967294" count="1" selected="0">
            <x v="0"/>
          </reference>
          <reference field="0" count="1" selected="0">
            <x v="8"/>
          </reference>
        </references>
      </pivotArea>
    </chartFormat>
    <chartFormat chart="6" format="36">
      <pivotArea type="data" outline="0" fieldPosition="0">
        <references count="2">
          <reference field="4294967294" count="1" selected="0">
            <x v="0"/>
          </reference>
          <reference field="0" count="1" selected="0">
            <x v="9"/>
          </reference>
        </references>
      </pivotArea>
    </chartFormat>
    <chartFormat chart="6" format="37">
      <pivotArea type="data" outline="0" fieldPosition="0">
        <references count="2">
          <reference field="4294967294" count="1" selected="0">
            <x v="0"/>
          </reference>
          <reference field="0" count="1" selected="0">
            <x v="10"/>
          </reference>
        </references>
      </pivotArea>
    </chartFormat>
    <chartFormat chart="6" format="38">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9672FA-E470-49DD-973E-EE46B018123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9">
    <pivotField axis="axisRow" showAll="0" sortType="descending">
      <items count="13">
        <item x="11"/>
        <item x="10"/>
        <item x="9"/>
        <item x="8"/>
        <item x="7"/>
        <item x="6"/>
        <item x="5"/>
        <item x="4"/>
        <item x="3"/>
        <item x="2"/>
        <item x="1"/>
        <item x="0"/>
        <item t="default"/>
      </items>
    </pivotField>
    <pivotField showAll="0"/>
    <pivotField showAll="0"/>
    <pivotField showAll="0"/>
    <pivotField showAll="0"/>
    <pivotField showAll="0"/>
    <pivotField showAll="0"/>
    <pivotField dataField="1"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In-House Labs (kgb)" fld="7" baseField="0" baseItem="0"/>
  </dataFields>
  <chartFormats count="8">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 chart="5" format="21">
      <pivotArea type="data" outline="0" fieldPosition="0">
        <references count="2">
          <reference field="4294967294" count="1" selected="0">
            <x v="0"/>
          </reference>
          <reference field="0" count="1" selected="0">
            <x v="6"/>
          </reference>
        </references>
      </pivotArea>
    </chartFormat>
    <chartFormat chart="5" format="22">
      <pivotArea type="data" outline="0" fieldPosition="0">
        <references count="2">
          <reference field="4294967294" count="1" selected="0">
            <x v="0"/>
          </reference>
          <reference field="0" count="1" selected="0">
            <x v="8"/>
          </reference>
        </references>
      </pivotArea>
    </chartFormat>
    <chartFormat chart="5" format="23">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8E77AE-D19C-477A-98F3-69AB22C626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9">
    <pivotField axis="axisRow"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Location Counseling Visits" fld="5" baseField="0" baseItem="0"/>
  </dataFields>
  <chartFormats count="40">
    <chartFormat chart="0"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0" count="1" selected="0">
            <x v="0"/>
          </reference>
        </references>
      </pivotArea>
    </chartFormat>
    <chartFormat chart="3" format="15">
      <pivotArea type="data" outline="0" fieldPosition="0">
        <references count="2">
          <reference field="4294967294" count="1" selected="0">
            <x v="0"/>
          </reference>
          <reference field="0" count="1" selected="0">
            <x v="1"/>
          </reference>
        </references>
      </pivotArea>
    </chartFormat>
    <chartFormat chart="3" format="16">
      <pivotArea type="data" outline="0" fieldPosition="0">
        <references count="2">
          <reference field="4294967294" count="1" selected="0">
            <x v="0"/>
          </reference>
          <reference field="0" count="1" selected="0">
            <x v="2"/>
          </reference>
        </references>
      </pivotArea>
    </chartFormat>
    <chartFormat chart="3" format="17">
      <pivotArea type="data" outline="0" fieldPosition="0">
        <references count="2">
          <reference field="4294967294" count="1" selected="0">
            <x v="0"/>
          </reference>
          <reference field="0" count="1" selected="0">
            <x v="3"/>
          </reference>
        </references>
      </pivotArea>
    </chartFormat>
    <chartFormat chart="3" format="18">
      <pivotArea type="data" outline="0" fieldPosition="0">
        <references count="2">
          <reference field="4294967294" count="1" selected="0">
            <x v="0"/>
          </reference>
          <reference field="0" count="1" selected="0">
            <x v="4"/>
          </reference>
        </references>
      </pivotArea>
    </chartFormat>
    <chartFormat chart="3" format="19">
      <pivotArea type="data" outline="0" fieldPosition="0">
        <references count="2">
          <reference field="4294967294" count="1" selected="0">
            <x v="0"/>
          </reference>
          <reference field="0" count="1" selected="0">
            <x v="5"/>
          </reference>
        </references>
      </pivotArea>
    </chartFormat>
    <chartFormat chart="3" format="20">
      <pivotArea type="data" outline="0" fieldPosition="0">
        <references count="2">
          <reference field="4294967294" count="1" selected="0">
            <x v="0"/>
          </reference>
          <reference field="0" count="1" selected="0">
            <x v="6"/>
          </reference>
        </references>
      </pivotArea>
    </chartFormat>
    <chartFormat chart="3" format="21">
      <pivotArea type="data" outline="0" fieldPosition="0">
        <references count="2">
          <reference field="4294967294" count="1" selected="0">
            <x v="0"/>
          </reference>
          <reference field="0" count="1" selected="0">
            <x v="7"/>
          </reference>
        </references>
      </pivotArea>
    </chartFormat>
    <chartFormat chart="3" format="22">
      <pivotArea type="data" outline="0" fieldPosition="0">
        <references count="2">
          <reference field="4294967294" count="1" selected="0">
            <x v="0"/>
          </reference>
          <reference field="0" count="1" selected="0">
            <x v="8"/>
          </reference>
        </references>
      </pivotArea>
    </chartFormat>
    <chartFormat chart="3" format="23">
      <pivotArea type="data" outline="0" fieldPosition="0">
        <references count="2">
          <reference field="4294967294" count="1" selected="0">
            <x v="0"/>
          </reference>
          <reference field="0" count="1" selected="0">
            <x v="9"/>
          </reference>
        </references>
      </pivotArea>
    </chartFormat>
    <chartFormat chart="3" format="24">
      <pivotArea type="data" outline="0" fieldPosition="0">
        <references count="2">
          <reference field="4294967294" count="1" selected="0">
            <x v="0"/>
          </reference>
          <reference field="0" count="1" selected="0">
            <x v="10"/>
          </reference>
        </references>
      </pivotArea>
    </chartFormat>
    <chartFormat chart="3" format="25">
      <pivotArea type="data" outline="0" fieldPosition="0">
        <references count="2">
          <reference field="4294967294" count="1" selected="0">
            <x v="0"/>
          </reference>
          <reference field="0" count="1" selected="0">
            <x v="11"/>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0" count="1" selected="0">
            <x v="0"/>
          </reference>
        </references>
      </pivotArea>
    </chartFormat>
    <chartFormat chart="4" format="28">
      <pivotArea type="data" outline="0" fieldPosition="0">
        <references count="2">
          <reference field="4294967294" count="1" selected="0">
            <x v="0"/>
          </reference>
          <reference field="0" count="1" selected="0">
            <x v="1"/>
          </reference>
        </references>
      </pivotArea>
    </chartFormat>
    <chartFormat chart="4" format="29">
      <pivotArea type="data" outline="0" fieldPosition="0">
        <references count="2">
          <reference field="4294967294" count="1" selected="0">
            <x v="0"/>
          </reference>
          <reference field="0" count="1" selected="0">
            <x v="2"/>
          </reference>
        </references>
      </pivotArea>
    </chartFormat>
    <chartFormat chart="4" format="30">
      <pivotArea type="data" outline="0" fieldPosition="0">
        <references count="2">
          <reference field="4294967294" count="1" selected="0">
            <x v="0"/>
          </reference>
          <reference field="0" count="1" selected="0">
            <x v="3"/>
          </reference>
        </references>
      </pivotArea>
    </chartFormat>
    <chartFormat chart="4" format="31">
      <pivotArea type="data" outline="0" fieldPosition="0">
        <references count="2">
          <reference field="4294967294" count="1" selected="0">
            <x v="0"/>
          </reference>
          <reference field="0" count="1" selected="0">
            <x v="4"/>
          </reference>
        </references>
      </pivotArea>
    </chartFormat>
    <chartFormat chart="4" format="32">
      <pivotArea type="data" outline="0" fieldPosition="0">
        <references count="2">
          <reference field="4294967294" count="1" selected="0">
            <x v="0"/>
          </reference>
          <reference field="0" count="1" selected="0">
            <x v="5"/>
          </reference>
        </references>
      </pivotArea>
    </chartFormat>
    <chartFormat chart="4" format="33">
      <pivotArea type="data" outline="0" fieldPosition="0">
        <references count="2">
          <reference field="4294967294" count="1" selected="0">
            <x v="0"/>
          </reference>
          <reference field="0" count="1" selected="0">
            <x v="6"/>
          </reference>
        </references>
      </pivotArea>
    </chartFormat>
    <chartFormat chart="4" format="34">
      <pivotArea type="data" outline="0" fieldPosition="0">
        <references count="2">
          <reference field="4294967294" count="1" selected="0">
            <x v="0"/>
          </reference>
          <reference field="0" count="1" selected="0">
            <x v="7"/>
          </reference>
        </references>
      </pivotArea>
    </chartFormat>
    <chartFormat chart="4" format="35">
      <pivotArea type="data" outline="0" fieldPosition="0">
        <references count="2">
          <reference field="4294967294" count="1" selected="0">
            <x v="0"/>
          </reference>
          <reference field="0" count="1" selected="0">
            <x v="8"/>
          </reference>
        </references>
      </pivotArea>
    </chartFormat>
    <chartFormat chart="4" format="36">
      <pivotArea type="data" outline="0" fieldPosition="0">
        <references count="2">
          <reference field="4294967294" count="1" selected="0">
            <x v="0"/>
          </reference>
          <reference field="0" count="1" selected="0">
            <x v="9"/>
          </reference>
        </references>
      </pivotArea>
    </chartFormat>
    <chartFormat chart="4" format="37">
      <pivotArea type="data" outline="0" fieldPosition="0">
        <references count="2">
          <reference field="4294967294" count="1" selected="0">
            <x v="0"/>
          </reference>
          <reference field="0" count="1" selected="0">
            <x v="10"/>
          </reference>
        </references>
      </pivotArea>
    </chartFormat>
    <chartFormat chart="4" format="38">
      <pivotArea type="data" outline="0" fieldPosition="0">
        <references count="2">
          <reference field="4294967294" count="1" selected="0">
            <x v="0"/>
          </reference>
          <reference field="0" count="1" selected="0">
            <x v="11"/>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0" count="1" selected="0">
            <x v="0"/>
          </reference>
        </references>
      </pivotArea>
    </chartFormat>
    <chartFormat chart="5" format="28">
      <pivotArea type="data" outline="0" fieldPosition="0">
        <references count="2">
          <reference field="4294967294" count="1" selected="0">
            <x v="0"/>
          </reference>
          <reference field="0" count="1" selected="0">
            <x v="1"/>
          </reference>
        </references>
      </pivotArea>
    </chartFormat>
    <chartFormat chart="5" format="29">
      <pivotArea type="data" outline="0" fieldPosition="0">
        <references count="2">
          <reference field="4294967294" count="1" selected="0">
            <x v="0"/>
          </reference>
          <reference field="0" count="1" selected="0">
            <x v="2"/>
          </reference>
        </references>
      </pivotArea>
    </chartFormat>
    <chartFormat chart="5" format="30">
      <pivotArea type="data" outline="0" fieldPosition="0">
        <references count="2">
          <reference field="4294967294" count="1" selected="0">
            <x v="0"/>
          </reference>
          <reference field="0" count="1" selected="0">
            <x v="3"/>
          </reference>
        </references>
      </pivotArea>
    </chartFormat>
    <chartFormat chart="5" format="31">
      <pivotArea type="data" outline="0" fieldPosition="0">
        <references count="2">
          <reference field="4294967294" count="1" selected="0">
            <x v="0"/>
          </reference>
          <reference field="0" count="1" selected="0">
            <x v="4"/>
          </reference>
        </references>
      </pivotArea>
    </chartFormat>
    <chartFormat chart="5" format="32">
      <pivotArea type="data" outline="0" fieldPosition="0">
        <references count="2">
          <reference field="4294967294" count="1" selected="0">
            <x v="0"/>
          </reference>
          <reference field="0" count="1" selected="0">
            <x v="5"/>
          </reference>
        </references>
      </pivotArea>
    </chartFormat>
    <chartFormat chart="5" format="33">
      <pivotArea type="data" outline="0" fieldPosition="0">
        <references count="2">
          <reference field="4294967294" count="1" selected="0">
            <x v="0"/>
          </reference>
          <reference field="0" count="1" selected="0">
            <x v="6"/>
          </reference>
        </references>
      </pivotArea>
    </chartFormat>
    <chartFormat chart="5" format="34">
      <pivotArea type="data" outline="0" fieldPosition="0">
        <references count="2">
          <reference field="4294967294" count="1" selected="0">
            <x v="0"/>
          </reference>
          <reference field="0" count="1" selected="0">
            <x v="7"/>
          </reference>
        </references>
      </pivotArea>
    </chartFormat>
    <chartFormat chart="5" format="35">
      <pivotArea type="data" outline="0" fieldPosition="0">
        <references count="2">
          <reference field="4294967294" count="1" selected="0">
            <x v="0"/>
          </reference>
          <reference field="0" count="1" selected="0">
            <x v="8"/>
          </reference>
        </references>
      </pivotArea>
    </chartFormat>
    <chartFormat chart="5" format="36">
      <pivotArea type="data" outline="0" fieldPosition="0">
        <references count="2">
          <reference field="4294967294" count="1" selected="0">
            <x v="0"/>
          </reference>
          <reference field="0" count="1" selected="0">
            <x v="9"/>
          </reference>
        </references>
      </pivotArea>
    </chartFormat>
    <chartFormat chart="5" format="37">
      <pivotArea type="data" outline="0" fieldPosition="0">
        <references count="2">
          <reference field="4294967294" count="1" selected="0">
            <x v="0"/>
          </reference>
          <reference field="0" count="1" selected="0">
            <x v="10"/>
          </reference>
        </references>
      </pivotArea>
    </chartFormat>
    <chartFormat chart="5" format="38">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058883-E460-41C4-B2CF-C59EF5FA24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9">
    <pivotField axis="axisRow" showAll="0" sortType="descending">
      <items count="13">
        <item x="11"/>
        <item x="10"/>
        <item x="9"/>
        <item x="8"/>
        <item x="7"/>
        <item x="6"/>
        <item x="5"/>
        <item x="4"/>
        <item x="3"/>
        <item x="2"/>
        <item x="1"/>
        <item x="0"/>
        <item t="default"/>
      </items>
    </pivotField>
    <pivotField showAll="0"/>
    <pivotField showAll="0"/>
    <pivotField dataField="1" showAll="0"/>
    <pivotField dataField="1"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Number of Peer Counselor Visits After Hours" fld="4" baseField="0" baseItem="0"/>
    <dataField name="Number of Peer Counselor Visits" fld="3" baseField="0" baseItem="0"/>
  </dataFields>
  <chartFormats count="33">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1"/>
          </reference>
          <reference field="0" count="1" selected="0">
            <x v="10"/>
          </reference>
        </references>
      </pivotArea>
    </chartFormat>
    <chartFormat chart="0" format="9">
      <pivotArea type="data" outline="0" fieldPosition="0">
        <references count="2">
          <reference field="4294967294" count="1" selected="0">
            <x v="1"/>
          </reference>
          <reference field="0" count="1" selected="0">
            <x v="9"/>
          </reference>
        </references>
      </pivotArea>
    </chartFormat>
    <chartFormat chart="0" format="10">
      <pivotArea type="data" outline="0" fieldPosition="0">
        <references count="2">
          <reference field="4294967294" count="1" selected="0">
            <x v="1"/>
          </reference>
          <reference field="0" count="1" selected="0">
            <x v="8"/>
          </reference>
        </references>
      </pivotArea>
    </chartFormat>
    <chartFormat chart="0" format="11">
      <pivotArea type="data" outline="0" fieldPosition="0">
        <references count="2">
          <reference field="4294967294" count="1" selected="0">
            <x v="1"/>
          </reference>
          <reference field="0" count="1" selected="0">
            <x v="6"/>
          </reference>
        </references>
      </pivotArea>
    </chartFormat>
    <chartFormat chart="0" format="12">
      <pivotArea type="data" outline="0" fieldPosition="0">
        <references count="2">
          <reference field="4294967294" count="1" selected="0">
            <x v="1"/>
          </reference>
          <reference field="0" count="1" selected="0">
            <x v="7"/>
          </reference>
        </references>
      </pivotArea>
    </chartFormat>
    <chartFormat chart="0" format="13">
      <pivotArea type="data" outline="0" fieldPosition="0">
        <references count="2">
          <reference field="4294967294" count="1" selected="0">
            <x v="1"/>
          </reference>
          <reference field="0" count="1" selected="0">
            <x v="1"/>
          </reference>
        </references>
      </pivotArea>
    </chartFormat>
    <chartFormat chart="0" format="14">
      <pivotArea type="data" outline="0" fieldPosition="0">
        <references count="2">
          <reference field="4294967294" count="1" selected="0">
            <x v="1"/>
          </reference>
          <reference field="0" count="1" selected="0">
            <x v="2"/>
          </reference>
        </references>
      </pivotArea>
    </chartFormat>
    <chartFormat chart="0" format="15">
      <pivotArea type="data" outline="0" fieldPosition="0">
        <references count="2">
          <reference field="4294967294" count="1" selected="0">
            <x v="1"/>
          </reference>
          <reference field="0" count="1" selected="0">
            <x v="11"/>
          </reference>
        </references>
      </pivotArea>
    </chartFormat>
    <chartFormat chart="0" format="16">
      <pivotArea type="data" outline="0" fieldPosition="0">
        <references count="2">
          <reference field="4294967294" count="1" selected="0">
            <x v="1"/>
          </reference>
          <reference field="0" count="1" selected="0">
            <x v="0"/>
          </reference>
        </references>
      </pivotArea>
    </chartFormat>
    <chartFormat chart="9" format="28" series="1">
      <pivotArea type="data" outline="0" fieldPosition="0">
        <references count="1">
          <reference field="4294967294" count="1" selected="0">
            <x v="0"/>
          </reference>
        </references>
      </pivotArea>
    </chartFormat>
    <chartFormat chart="9" format="29" series="1">
      <pivotArea type="data" outline="0" fieldPosition="0">
        <references count="1">
          <reference field="4294967294" count="1" selected="0">
            <x v="1"/>
          </reference>
        </references>
      </pivotArea>
    </chartFormat>
    <chartFormat chart="9" format="30">
      <pivotArea type="data" outline="0" fieldPosition="0">
        <references count="2">
          <reference field="4294967294" count="1" selected="0">
            <x v="1"/>
          </reference>
          <reference field="0" count="1" selected="0">
            <x v="0"/>
          </reference>
        </references>
      </pivotArea>
    </chartFormat>
    <chartFormat chart="9" format="31">
      <pivotArea type="data" outline="0" fieldPosition="0">
        <references count="2">
          <reference field="4294967294" count="1" selected="0">
            <x v="1"/>
          </reference>
          <reference field="0" count="1" selected="0">
            <x v="1"/>
          </reference>
        </references>
      </pivotArea>
    </chartFormat>
    <chartFormat chart="9" format="32">
      <pivotArea type="data" outline="0" fieldPosition="0">
        <references count="2">
          <reference field="4294967294" count="1" selected="0">
            <x v="1"/>
          </reference>
          <reference field="0" count="1" selected="0">
            <x v="2"/>
          </reference>
        </references>
      </pivotArea>
    </chartFormat>
    <chartFormat chart="9" format="33">
      <pivotArea type="data" outline="0" fieldPosition="0">
        <references count="2">
          <reference field="4294967294" count="1" selected="0">
            <x v="1"/>
          </reference>
          <reference field="0" count="1" selected="0">
            <x v="6"/>
          </reference>
        </references>
      </pivotArea>
    </chartFormat>
    <chartFormat chart="9" format="34">
      <pivotArea type="data" outline="0" fieldPosition="0">
        <references count="2">
          <reference field="4294967294" count="1" selected="0">
            <x v="1"/>
          </reference>
          <reference field="0" count="1" selected="0">
            <x v="7"/>
          </reference>
        </references>
      </pivotArea>
    </chartFormat>
    <chartFormat chart="9" format="35">
      <pivotArea type="data" outline="0" fieldPosition="0">
        <references count="2">
          <reference field="4294967294" count="1" selected="0">
            <x v="1"/>
          </reference>
          <reference field="0" count="1" selected="0">
            <x v="8"/>
          </reference>
        </references>
      </pivotArea>
    </chartFormat>
    <chartFormat chart="9" format="36">
      <pivotArea type="data" outline="0" fieldPosition="0">
        <references count="2">
          <reference field="4294967294" count="1" selected="0">
            <x v="1"/>
          </reference>
          <reference field="0" count="1" selected="0">
            <x v="9"/>
          </reference>
        </references>
      </pivotArea>
    </chartFormat>
    <chartFormat chart="9" format="37">
      <pivotArea type="data" outline="0" fieldPosition="0">
        <references count="2">
          <reference field="4294967294" count="1" selected="0">
            <x v="1"/>
          </reference>
          <reference field="0" count="1" selected="0">
            <x v="10"/>
          </reference>
        </references>
      </pivotArea>
    </chartFormat>
    <chartFormat chart="9" format="38">
      <pivotArea type="data" outline="0" fieldPosition="0">
        <references count="2">
          <reference field="4294967294" count="1" selected="0">
            <x v="1"/>
          </reference>
          <reference field="0" count="1" selected="0">
            <x v="11"/>
          </reference>
        </references>
      </pivotArea>
    </chartFormat>
    <chartFormat chart="10" format="39" series="1">
      <pivotArea type="data" outline="0" fieldPosition="0">
        <references count="1">
          <reference field="4294967294" count="1" selected="0">
            <x v="0"/>
          </reference>
        </references>
      </pivotArea>
    </chartFormat>
    <chartFormat chart="10" format="40" series="1">
      <pivotArea type="data" outline="0" fieldPosition="0">
        <references count="1">
          <reference field="4294967294" count="1" selected="0">
            <x v="1"/>
          </reference>
        </references>
      </pivotArea>
    </chartFormat>
    <chartFormat chart="10" format="41">
      <pivotArea type="data" outline="0" fieldPosition="0">
        <references count="2">
          <reference field="4294967294" count="1" selected="0">
            <x v="1"/>
          </reference>
          <reference field="0" count="1" selected="0">
            <x v="0"/>
          </reference>
        </references>
      </pivotArea>
    </chartFormat>
    <chartFormat chart="10" format="42">
      <pivotArea type="data" outline="0" fieldPosition="0">
        <references count="2">
          <reference field="4294967294" count="1" selected="0">
            <x v="1"/>
          </reference>
          <reference field="0" count="1" selected="0">
            <x v="1"/>
          </reference>
        </references>
      </pivotArea>
    </chartFormat>
    <chartFormat chart="10" format="43">
      <pivotArea type="data" outline="0" fieldPosition="0">
        <references count="2">
          <reference field="4294967294" count="1" selected="0">
            <x v="1"/>
          </reference>
          <reference field="0" count="1" selected="0">
            <x v="2"/>
          </reference>
        </references>
      </pivotArea>
    </chartFormat>
    <chartFormat chart="10" format="44">
      <pivotArea type="data" outline="0" fieldPosition="0">
        <references count="2">
          <reference field="4294967294" count="1" selected="0">
            <x v="1"/>
          </reference>
          <reference field="0" count="1" selected="0">
            <x v="6"/>
          </reference>
        </references>
      </pivotArea>
    </chartFormat>
    <chartFormat chart="10" format="45">
      <pivotArea type="data" outline="0" fieldPosition="0">
        <references count="2">
          <reference field="4294967294" count="1" selected="0">
            <x v="1"/>
          </reference>
          <reference field="0" count="1" selected="0">
            <x v="7"/>
          </reference>
        </references>
      </pivotArea>
    </chartFormat>
    <chartFormat chart="10" format="46">
      <pivotArea type="data" outline="0" fieldPosition="0">
        <references count="2">
          <reference field="4294967294" count="1" selected="0">
            <x v="1"/>
          </reference>
          <reference field="0" count="1" selected="0">
            <x v="8"/>
          </reference>
        </references>
      </pivotArea>
    </chartFormat>
    <chartFormat chart="10" format="47">
      <pivotArea type="data" outline="0" fieldPosition="0">
        <references count="2">
          <reference field="4294967294" count="1" selected="0">
            <x v="1"/>
          </reference>
          <reference field="0" count="1" selected="0">
            <x v="9"/>
          </reference>
        </references>
      </pivotArea>
    </chartFormat>
    <chartFormat chart="10" format="48">
      <pivotArea type="data" outline="0" fieldPosition="0">
        <references count="2">
          <reference field="4294967294" count="1" selected="0">
            <x v="1"/>
          </reference>
          <reference field="0" count="1" selected="0">
            <x v="10"/>
          </reference>
        </references>
      </pivotArea>
    </chartFormat>
    <chartFormat chart="10" format="49">
      <pivotArea type="data" outline="0" fieldPosition="0">
        <references count="2">
          <reference field="4294967294" count="1" selected="0">
            <x v="1"/>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96B631-D149-4BDA-B35D-D12DEB15BF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9">
    <pivotField axis="axisRow" showAll="0">
      <items count="13">
        <item x="0"/>
        <item x="1"/>
        <item x="2"/>
        <item x="3"/>
        <item x="4"/>
        <item x="5"/>
        <item x="6"/>
        <item x="7"/>
        <item x="8"/>
        <item x="9"/>
        <item x="10"/>
        <item x="11"/>
        <item t="default"/>
      </items>
    </pivotField>
    <pivotField showAll="0"/>
    <pivotField dataField="1"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Participation" fld="2" baseField="0" baseItem="0"/>
  </dataFields>
  <chartFormats count="3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0" count="1" selected="0">
            <x v="0"/>
          </reference>
        </references>
      </pivotArea>
    </chartFormat>
    <chartFormat chart="6" format="28">
      <pivotArea type="data" outline="0" fieldPosition="0">
        <references count="2">
          <reference field="4294967294" count="1" selected="0">
            <x v="0"/>
          </reference>
          <reference field="0" count="1" selected="0">
            <x v="1"/>
          </reference>
        </references>
      </pivotArea>
    </chartFormat>
    <chartFormat chart="6" format="29">
      <pivotArea type="data" outline="0" fieldPosition="0">
        <references count="2">
          <reference field="4294967294" count="1" selected="0">
            <x v="0"/>
          </reference>
          <reference field="0" count="1" selected="0">
            <x v="2"/>
          </reference>
        </references>
      </pivotArea>
    </chartFormat>
    <chartFormat chart="6" format="30">
      <pivotArea type="data" outline="0" fieldPosition="0">
        <references count="2">
          <reference field="4294967294" count="1" selected="0">
            <x v="0"/>
          </reference>
          <reference field="0" count="1" selected="0">
            <x v="3"/>
          </reference>
        </references>
      </pivotArea>
    </chartFormat>
    <chartFormat chart="6" format="31">
      <pivotArea type="data" outline="0" fieldPosition="0">
        <references count="2">
          <reference field="4294967294" count="1" selected="0">
            <x v="0"/>
          </reference>
          <reference field="0" count="1" selected="0">
            <x v="4"/>
          </reference>
        </references>
      </pivotArea>
    </chartFormat>
    <chartFormat chart="6" format="32">
      <pivotArea type="data" outline="0" fieldPosition="0">
        <references count="2">
          <reference field="4294967294" count="1" selected="0">
            <x v="0"/>
          </reference>
          <reference field="0" count="1" selected="0">
            <x v="5"/>
          </reference>
        </references>
      </pivotArea>
    </chartFormat>
    <chartFormat chart="6" format="33">
      <pivotArea type="data" outline="0" fieldPosition="0">
        <references count="2">
          <reference field="4294967294" count="1" selected="0">
            <x v="0"/>
          </reference>
          <reference field="0" count="1" selected="0">
            <x v="6"/>
          </reference>
        </references>
      </pivotArea>
    </chartFormat>
    <chartFormat chart="6" format="34">
      <pivotArea type="data" outline="0" fieldPosition="0">
        <references count="2">
          <reference field="4294967294" count="1" selected="0">
            <x v="0"/>
          </reference>
          <reference field="0" count="1" selected="0">
            <x v="7"/>
          </reference>
        </references>
      </pivotArea>
    </chartFormat>
    <chartFormat chart="6" format="35">
      <pivotArea type="data" outline="0" fieldPosition="0">
        <references count="2">
          <reference field="4294967294" count="1" selected="0">
            <x v="0"/>
          </reference>
          <reference field="0" count="1" selected="0">
            <x v="8"/>
          </reference>
        </references>
      </pivotArea>
    </chartFormat>
    <chartFormat chart="6" format="36">
      <pivotArea type="data" outline="0" fieldPosition="0">
        <references count="2">
          <reference field="4294967294" count="1" selected="0">
            <x v="0"/>
          </reference>
          <reference field="0" count="1" selected="0">
            <x v="9"/>
          </reference>
        </references>
      </pivotArea>
    </chartFormat>
    <chartFormat chart="6" format="37">
      <pivotArea type="data" outline="0" fieldPosition="0">
        <references count="2">
          <reference field="4294967294" count="1" selected="0">
            <x v="0"/>
          </reference>
          <reference field="0" count="1" selected="0">
            <x v="10"/>
          </reference>
        </references>
      </pivotArea>
    </chartFormat>
    <chartFormat chart="6" format="38">
      <pivotArea type="data" outline="0" fieldPosition="0">
        <references count="2">
          <reference field="4294967294" count="1" selected="0">
            <x v="0"/>
          </reference>
          <reference field="0" count="1" selected="0">
            <x v="11"/>
          </reference>
        </references>
      </pivotArea>
    </chartFormat>
    <chartFormat chart="7" format="39" series="1">
      <pivotArea type="data" outline="0" fieldPosition="0">
        <references count="1">
          <reference field="4294967294" count="1" selected="0">
            <x v="0"/>
          </reference>
        </references>
      </pivotArea>
    </chartFormat>
    <chartFormat chart="7" format="40">
      <pivotArea type="data" outline="0" fieldPosition="0">
        <references count="2">
          <reference field="4294967294" count="1" selected="0">
            <x v="0"/>
          </reference>
          <reference field="0" count="1" selected="0">
            <x v="0"/>
          </reference>
        </references>
      </pivotArea>
    </chartFormat>
    <chartFormat chart="7" format="41">
      <pivotArea type="data" outline="0" fieldPosition="0">
        <references count="2">
          <reference field="4294967294" count="1" selected="0">
            <x v="0"/>
          </reference>
          <reference field="0" count="1" selected="0">
            <x v="1"/>
          </reference>
        </references>
      </pivotArea>
    </chartFormat>
    <chartFormat chart="7" format="42">
      <pivotArea type="data" outline="0" fieldPosition="0">
        <references count="2">
          <reference field="4294967294" count="1" selected="0">
            <x v="0"/>
          </reference>
          <reference field="0" count="1" selected="0">
            <x v="2"/>
          </reference>
        </references>
      </pivotArea>
    </chartFormat>
    <chartFormat chart="7" format="43">
      <pivotArea type="data" outline="0" fieldPosition="0">
        <references count="2">
          <reference field="4294967294" count="1" selected="0">
            <x v="0"/>
          </reference>
          <reference field="0" count="1" selected="0">
            <x v="3"/>
          </reference>
        </references>
      </pivotArea>
    </chartFormat>
    <chartFormat chart="7" format="44">
      <pivotArea type="data" outline="0" fieldPosition="0">
        <references count="2">
          <reference field="4294967294" count="1" selected="0">
            <x v="0"/>
          </reference>
          <reference field="0" count="1" selected="0">
            <x v="4"/>
          </reference>
        </references>
      </pivotArea>
    </chartFormat>
    <chartFormat chart="7" format="45">
      <pivotArea type="data" outline="0" fieldPosition="0">
        <references count="2">
          <reference field="4294967294" count="1" selected="0">
            <x v="0"/>
          </reference>
          <reference field="0" count="1" selected="0">
            <x v="5"/>
          </reference>
        </references>
      </pivotArea>
    </chartFormat>
    <chartFormat chart="7" format="46">
      <pivotArea type="data" outline="0" fieldPosition="0">
        <references count="2">
          <reference field="4294967294" count="1" selected="0">
            <x v="0"/>
          </reference>
          <reference field="0" count="1" selected="0">
            <x v="6"/>
          </reference>
        </references>
      </pivotArea>
    </chartFormat>
    <chartFormat chart="7" format="47">
      <pivotArea type="data" outline="0" fieldPosition="0">
        <references count="2">
          <reference field="4294967294" count="1" selected="0">
            <x v="0"/>
          </reference>
          <reference field="0" count="1" selected="0">
            <x v="7"/>
          </reference>
        </references>
      </pivotArea>
    </chartFormat>
    <chartFormat chart="7" format="48">
      <pivotArea type="data" outline="0" fieldPosition="0">
        <references count="2">
          <reference field="4294967294" count="1" selected="0">
            <x v="0"/>
          </reference>
          <reference field="0" count="1" selected="0">
            <x v="8"/>
          </reference>
        </references>
      </pivotArea>
    </chartFormat>
    <chartFormat chart="7" format="49">
      <pivotArea type="data" outline="0" fieldPosition="0">
        <references count="2">
          <reference field="4294967294" count="1" selected="0">
            <x v="0"/>
          </reference>
          <reference field="0" count="1" selected="0">
            <x v="9"/>
          </reference>
        </references>
      </pivotArea>
    </chartFormat>
    <chartFormat chart="7" format="50">
      <pivotArea type="data" outline="0" fieldPosition="0">
        <references count="2">
          <reference field="4294967294" count="1" selected="0">
            <x v="0"/>
          </reference>
          <reference field="0" count="1" selected="0">
            <x v="10"/>
          </reference>
        </references>
      </pivotArea>
    </chartFormat>
    <chartFormat chart="7" format="51">
      <pivotArea type="data" outline="0" fieldPosition="0">
        <references count="2">
          <reference field="4294967294" count="1" selected="0">
            <x v="0"/>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9ABBBDE-2F32-4721-868D-DD6D53EE4891}" sourceName="Month">
  <pivotTables>
    <pivotTable tabId="9" name="PivotTable7"/>
    <pivotTable tabId="8" name="PivotTable6"/>
    <pivotTable tabId="7" name="PivotTable5"/>
    <pivotTable tabId="4" name="PivotTable2"/>
    <pivotTable tabId="5" name="PivotTable3"/>
    <pivotTable tabId="6" name="PivotTable4"/>
  </pivotTables>
  <data>
    <tabular pivotCacheId="1518347307">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F9100F3-C169-48A8-901C-B071668347DF}"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1B74A-7574-4699-ABAA-A7909346CBA8}" name="WICData" displayName="WICData" ref="A1:I13" totalsRowShown="0" headerRowDxfId="10" dataDxfId="9">
  <autoFilter ref="A1:I13" xr:uid="{1711B74A-7574-4699-ABAA-A7909346CBA8}"/>
  <tableColumns count="9">
    <tableColumn id="1" xr3:uid="{C9A7144D-EADC-4C7A-9991-3ED1C89D3726}" name="Month" dataDxfId="8"/>
    <tableColumn id="2" xr3:uid="{5B275628-4FE3-42CE-95DD-5B640DC20907}" name="Registration Processing and Assistance" dataDxfId="7"/>
    <tableColumn id="3" xr3:uid="{EBD10995-8F33-4B16-8E7F-118F5DDC818E}" name="Participation" dataDxfId="6"/>
    <tableColumn id="4" xr3:uid="{0B73167B-C5D6-47D4-80E9-7050AFDB7273}" name="Peer Counselor Visits" dataDxfId="5"/>
    <tableColumn id="5" xr3:uid="{38DC82F7-CA5E-4086-88C2-54F677178B45}" name="Peer Counselor Visits After Hours" dataDxfId="4"/>
    <tableColumn id="6" xr3:uid="{76120626-ADDA-4B45-B6E7-B7A722B205CA}" name="Location Counseling Visits" dataDxfId="3"/>
    <tableColumn id="7" xr3:uid="{DC4A525C-237D-467E-999F-913E1DB5B4E5}" name="Client Education" dataDxfId="2"/>
    <tableColumn id="8" xr3:uid="{F9FF26A6-5A84-4AE4-B8B7-45E47B7FC3BC}" name="In-House Labs (kgb)" dataDxfId="1"/>
    <tableColumn id="9" xr3:uid="{EF05811B-7A52-45FC-A682-3DD22DD26FFE}" name="Apply Now: TexasWIC.or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BB2D6-238F-4B7A-8D74-C9CE0023B6E6}">
  <dimension ref="A1"/>
  <sheetViews>
    <sheetView showGridLines="0" tabSelected="1" zoomScale="64" zoomScaleNormal="64" workbookViewId="0">
      <selection activeCell="B31" sqref="B3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workbookViewId="0">
      <selection activeCell="G19" sqref="G19"/>
    </sheetView>
  </sheetViews>
  <sheetFormatPr defaultRowHeight="14.5" x14ac:dyDescent="0.35"/>
  <cols>
    <col min="1" max="1" width="33.54296875" style="3" bestFit="1" customWidth="1"/>
    <col min="2" max="13" width="8.7265625" style="3"/>
    <col min="14" max="14" width="8.7265625" style="2"/>
    <col min="15" max="16384" width="8.7265625" style="3"/>
  </cols>
  <sheetData>
    <row r="1" spans="1:15" s="1" customFormat="1" x14ac:dyDescent="0.35">
      <c r="A1" s="1" t="s">
        <v>22</v>
      </c>
      <c r="B1" s="1" t="s">
        <v>9</v>
      </c>
      <c r="C1" s="1" t="s">
        <v>10</v>
      </c>
      <c r="D1" s="1" t="s">
        <v>11</v>
      </c>
      <c r="E1" s="1" t="s">
        <v>12</v>
      </c>
      <c r="F1" s="1" t="s">
        <v>14</v>
      </c>
      <c r="G1" s="1" t="s">
        <v>13</v>
      </c>
      <c r="H1" s="1" t="s">
        <v>15</v>
      </c>
      <c r="I1" s="1" t="s">
        <v>16</v>
      </c>
      <c r="J1" s="1" t="s">
        <v>17</v>
      </c>
      <c r="K1" s="1" t="s">
        <v>18</v>
      </c>
      <c r="L1" s="1" t="s">
        <v>19</v>
      </c>
      <c r="M1" s="1" t="s">
        <v>20</v>
      </c>
      <c r="N1" s="1" t="s">
        <v>8</v>
      </c>
    </row>
    <row r="2" spans="1:15" x14ac:dyDescent="0.35">
      <c r="A2" s="3" t="s">
        <v>0</v>
      </c>
      <c r="C2" s="3">
        <v>707</v>
      </c>
      <c r="D2" s="3">
        <v>571</v>
      </c>
      <c r="E2" s="3">
        <v>599</v>
      </c>
      <c r="F2" s="3">
        <v>694</v>
      </c>
      <c r="G2" s="3">
        <v>578</v>
      </c>
      <c r="H2" s="3">
        <v>0</v>
      </c>
      <c r="I2" s="3">
        <v>0</v>
      </c>
      <c r="J2" s="3">
        <v>0</v>
      </c>
      <c r="K2" s="3">
        <v>0</v>
      </c>
      <c r="L2" s="3">
        <v>0</v>
      </c>
      <c r="M2" s="3">
        <v>0</v>
      </c>
      <c r="N2" s="2">
        <v>3149</v>
      </c>
    </row>
    <row r="3" spans="1:15" x14ac:dyDescent="0.35">
      <c r="A3" s="3" t="s">
        <v>1</v>
      </c>
      <c r="B3" s="3">
        <v>2485</v>
      </c>
      <c r="C3" s="3">
        <v>2528</v>
      </c>
      <c r="D3" s="3">
        <v>2458</v>
      </c>
      <c r="E3" s="3">
        <v>2396</v>
      </c>
      <c r="F3" s="3">
        <v>2379</v>
      </c>
      <c r="G3" s="3">
        <v>2407</v>
      </c>
      <c r="H3" s="3">
        <v>2377</v>
      </c>
      <c r="I3" s="3">
        <v>2362</v>
      </c>
      <c r="J3" s="3">
        <v>2359</v>
      </c>
      <c r="K3" s="3">
        <v>2401</v>
      </c>
      <c r="L3" s="3">
        <v>0</v>
      </c>
      <c r="M3" s="3">
        <v>0</v>
      </c>
      <c r="N3" s="2">
        <v>24152</v>
      </c>
    </row>
    <row r="4" spans="1:15" x14ac:dyDescent="0.35">
      <c r="A4" s="3" t="s">
        <v>2</v>
      </c>
      <c r="B4" s="3">
        <v>84</v>
      </c>
      <c r="C4" s="3">
        <v>108</v>
      </c>
      <c r="D4" s="3">
        <v>80</v>
      </c>
      <c r="E4" s="3" t="s">
        <v>21</v>
      </c>
      <c r="F4" s="3">
        <v>126</v>
      </c>
      <c r="G4" s="3">
        <v>99</v>
      </c>
      <c r="H4" s="3">
        <v>64</v>
      </c>
      <c r="I4" s="3">
        <v>82</v>
      </c>
      <c r="J4" s="3">
        <v>91</v>
      </c>
      <c r="K4" s="3">
        <v>101</v>
      </c>
      <c r="L4" s="3">
        <v>0</v>
      </c>
      <c r="M4" s="3">
        <v>0</v>
      </c>
      <c r="N4" s="2">
        <v>835</v>
      </c>
    </row>
    <row r="5" spans="1:15" x14ac:dyDescent="0.35">
      <c r="A5" s="3" t="s">
        <v>3</v>
      </c>
      <c r="B5" s="3">
        <v>0</v>
      </c>
      <c r="C5" s="3">
        <v>0</v>
      </c>
      <c r="D5" s="3">
        <v>0</v>
      </c>
      <c r="E5" s="3">
        <v>1</v>
      </c>
      <c r="F5" s="3">
        <v>0</v>
      </c>
      <c r="G5" s="3">
        <v>0</v>
      </c>
      <c r="H5" s="3">
        <v>1</v>
      </c>
      <c r="I5" s="3">
        <v>0</v>
      </c>
      <c r="J5" s="3">
        <v>0</v>
      </c>
      <c r="K5" s="3">
        <v>0</v>
      </c>
      <c r="L5" s="3">
        <v>0</v>
      </c>
      <c r="M5" s="3">
        <v>0</v>
      </c>
      <c r="N5" s="2">
        <v>2</v>
      </c>
    </row>
    <row r="6" spans="1:15" x14ac:dyDescent="0.35">
      <c r="A6" s="3" t="s">
        <v>4</v>
      </c>
      <c r="B6" s="3">
        <v>42</v>
      </c>
      <c r="C6" s="3">
        <v>23</v>
      </c>
      <c r="D6" s="3">
        <v>28</v>
      </c>
      <c r="E6" s="3">
        <v>48</v>
      </c>
      <c r="F6" s="3">
        <v>21</v>
      </c>
      <c r="G6" s="3">
        <v>32</v>
      </c>
      <c r="H6" s="3">
        <v>28</v>
      </c>
      <c r="I6" s="3">
        <v>62</v>
      </c>
      <c r="J6" s="3">
        <v>46</v>
      </c>
      <c r="K6" s="3">
        <v>26</v>
      </c>
      <c r="L6" s="3">
        <v>0</v>
      </c>
      <c r="M6" s="3">
        <v>0</v>
      </c>
      <c r="N6" s="2">
        <v>356</v>
      </c>
    </row>
    <row r="7" spans="1:15" x14ac:dyDescent="0.35">
      <c r="A7" s="3" t="s">
        <v>5</v>
      </c>
      <c r="B7" s="3">
        <v>2485</v>
      </c>
      <c r="C7" s="3">
        <v>2528</v>
      </c>
      <c r="D7" s="3">
        <v>2458</v>
      </c>
      <c r="E7" s="3">
        <v>2396</v>
      </c>
      <c r="F7" s="3">
        <v>2379</v>
      </c>
      <c r="G7" s="3">
        <v>2407</v>
      </c>
      <c r="H7" s="3">
        <v>2377</v>
      </c>
      <c r="I7" s="3">
        <v>2362</v>
      </c>
      <c r="J7" s="3">
        <v>2359</v>
      </c>
      <c r="L7" s="3">
        <v>0</v>
      </c>
      <c r="M7" s="3">
        <v>0</v>
      </c>
      <c r="N7" s="2">
        <v>21751</v>
      </c>
    </row>
    <row r="8" spans="1:15" x14ac:dyDescent="0.35">
      <c r="A8" s="3" t="s">
        <v>6</v>
      </c>
      <c r="B8" s="3">
        <v>276</v>
      </c>
      <c r="C8" s="3">
        <v>341</v>
      </c>
      <c r="D8" s="3">
        <v>226</v>
      </c>
      <c r="E8" s="3">
        <v>196</v>
      </c>
      <c r="F8" s="3">
        <v>267</v>
      </c>
      <c r="G8" s="3">
        <v>258</v>
      </c>
      <c r="H8" s="3">
        <v>211</v>
      </c>
      <c r="I8" s="3">
        <v>265</v>
      </c>
      <c r="J8" s="3">
        <v>241</v>
      </c>
      <c r="K8" s="3">
        <v>270</v>
      </c>
      <c r="L8" s="3">
        <v>0</v>
      </c>
      <c r="M8" s="3">
        <v>0</v>
      </c>
      <c r="N8" s="2">
        <v>2551</v>
      </c>
    </row>
    <row r="9" spans="1:15" x14ac:dyDescent="0.35">
      <c r="A9" s="3" t="s">
        <v>7</v>
      </c>
      <c r="B9" s="3">
        <v>39</v>
      </c>
      <c r="C9" s="3">
        <v>38</v>
      </c>
      <c r="D9" s="3">
        <v>36</v>
      </c>
      <c r="E9" s="3">
        <v>33</v>
      </c>
      <c r="F9" s="3">
        <v>60</v>
      </c>
      <c r="G9" s="3">
        <v>46</v>
      </c>
      <c r="H9" s="3">
        <v>47</v>
      </c>
      <c r="I9" s="3">
        <v>62</v>
      </c>
      <c r="J9" s="3">
        <v>57</v>
      </c>
      <c r="L9" s="3">
        <v>0</v>
      </c>
      <c r="M9" s="3">
        <v>0</v>
      </c>
      <c r="N9" s="2">
        <v>418</v>
      </c>
    </row>
    <row r="10" spans="1:15" s="2" customFormat="1" x14ac:dyDescent="0.35">
      <c r="A10" s="3" t="s">
        <v>8</v>
      </c>
      <c r="B10" s="2">
        <v>5372</v>
      </c>
      <c r="C10" s="2">
        <v>6235</v>
      </c>
      <c r="D10" s="2">
        <v>5821</v>
      </c>
      <c r="E10" s="2">
        <v>5636</v>
      </c>
      <c r="F10" s="2">
        <v>5866</v>
      </c>
      <c r="G10" s="2">
        <v>5781</v>
      </c>
      <c r="H10" s="2">
        <v>5058</v>
      </c>
      <c r="I10" s="2">
        <v>5133</v>
      </c>
      <c r="J10" s="2">
        <v>5096</v>
      </c>
      <c r="K10" s="2">
        <v>2798</v>
      </c>
      <c r="L10" s="2">
        <v>0</v>
      </c>
      <c r="M10" s="2">
        <v>0</v>
      </c>
      <c r="N10" s="2">
        <v>52796</v>
      </c>
      <c r="O10" s="2">
        <v>53214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1B064-1BE7-4A8D-8E90-3351381B7E47}">
  <dimension ref="A1:I13"/>
  <sheetViews>
    <sheetView workbookViewId="0">
      <selection activeCell="C9" sqref="C9"/>
    </sheetView>
  </sheetViews>
  <sheetFormatPr defaultRowHeight="14.5" x14ac:dyDescent="0.35"/>
  <cols>
    <col min="1" max="1" width="9.90625" style="3" bestFit="1" customWidth="1"/>
    <col min="2" max="2" width="35" style="3" customWidth="1"/>
    <col min="3" max="3" width="13.54296875" style="3" customWidth="1"/>
    <col min="4" max="4" width="20.453125" style="3" customWidth="1"/>
    <col min="5" max="5" width="30.6328125" style="3" customWidth="1"/>
    <col min="6" max="6" width="24.36328125" style="3" customWidth="1"/>
    <col min="7" max="7" width="16.453125" style="3" customWidth="1"/>
    <col min="8" max="8" width="19.26953125" style="3" customWidth="1"/>
    <col min="9" max="9" width="24.26953125" style="3" customWidth="1"/>
    <col min="10" max="16384" width="8.7265625" style="3"/>
  </cols>
  <sheetData>
    <row r="1" spans="1:9" s="2" customFormat="1" ht="58" x14ac:dyDescent="0.35">
      <c r="A1" s="2" t="s">
        <v>23</v>
      </c>
      <c r="B1" s="4" t="s">
        <v>0</v>
      </c>
      <c r="C1" s="2" t="s">
        <v>1</v>
      </c>
      <c r="D1" s="2" t="s">
        <v>2</v>
      </c>
      <c r="E1" s="4" t="s">
        <v>3</v>
      </c>
      <c r="F1" s="2" t="s">
        <v>4</v>
      </c>
      <c r="G1" s="2" t="s">
        <v>5</v>
      </c>
      <c r="H1" s="2" t="s">
        <v>6</v>
      </c>
      <c r="I1" s="2" t="s">
        <v>36</v>
      </c>
    </row>
    <row r="2" spans="1:9" x14ac:dyDescent="0.35">
      <c r="A2" s="3" t="s">
        <v>24</v>
      </c>
      <c r="B2" s="3">
        <v>694</v>
      </c>
      <c r="C2" s="3">
        <v>2379</v>
      </c>
      <c r="D2" s="3">
        <v>126</v>
      </c>
      <c r="E2" s="3">
        <v>0</v>
      </c>
      <c r="F2" s="3">
        <v>21</v>
      </c>
      <c r="G2" s="3">
        <v>2379</v>
      </c>
      <c r="H2" s="3">
        <v>267</v>
      </c>
      <c r="I2" s="3">
        <v>60</v>
      </c>
    </row>
    <row r="3" spans="1:9" x14ac:dyDescent="0.35">
      <c r="A3" s="3" t="s">
        <v>25</v>
      </c>
      <c r="B3" s="3">
        <v>578</v>
      </c>
      <c r="C3" s="3">
        <v>2407</v>
      </c>
      <c r="D3" s="3">
        <v>99</v>
      </c>
      <c r="E3" s="3">
        <v>0</v>
      </c>
      <c r="F3" s="3">
        <v>32</v>
      </c>
      <c r="G3" s="3">
        <v>2407</v>
      </c>
      <c r="H3" s="3">
        <v>258</v>
      </c>
      <c r="I3" s="3">
        <v>46</v>
      </c>
    </row>
    <row r="4" spans="1:9" x14ac:dyDescent="0.35">
      <c r="A4" s="3" t="s">
        <v>26</v>
      </c>
      <c r="B4" s="3">
        <v>0</v>
      </c>
      <c r="C4" s="3">
        <v>2377</v>
      </c>
      <c r="D4" s="3">
        <v>64</v>
      </c>
      <c r="E4" s="3">
        <v>1</v>
      </c>
      <c r="F4" s="3">
        <v>28</v>
      </c>
      <c r="G4" s="3">
        <v>2377</v>
      </c>
      <c r="H4" s="3">
        <v>211</v>
      </c>
      <c r="I4" s="3">
        <v>47</v>
      </c>
    </row>
    <row r="5" spans="1:9" x14ac:dyDescent="0.35">
      <c r="A5" s="3" t="s">
        <v>27</v>
      </c>
      <c r="B5" s="3">
        <v>0</v>
      </c>
      <c r="C5" s="3">
        <v>2362</v>
      </c>
      <c r="D5" s="3">
        <v>82</v>
      </c>
      <c r="E5" s="3">
        <v>0</v>
      </c>
      <c r="F5" s="3">
        <v>62</v>
      </c>
      <c r="G5" s="3">
        <v>2362</v>
      </c>
      <c r="H5" s="3">
        <v>265</v>
      </c>
      <c r="I5" s="3">
        <v>62</v>
      </c>
    </row>
    <row r="6" spans="1:9" x14ac:dyDescent="0.35">
      <c r="A6" s="3" t="s">
        <v>28</v>
      </c>
      <c r="B6" s="3">
        <v>0</v>
      </c>
      <c r="C6" s="3">
        <v>2359</v>
      </c>
      <c r="D6" s="3">
        <v>91</v>
      </c>
      <c r="E6" s="3">
        <v>0</v>
      </c>
      <c r="F6" s="3">
        <v>46</v>
      </c>
      <c r="G6" s="3">
        <v>2359</v>
      </c>
      <c r="H6" s="3">
        <v>241</v>
      </c>
      <c r="I6" s="3">
        <v>57</v>
      </c>
    </row>
    <row r="7" spans="1:9" x14ac:dyDescent="0.35">
      <c r="A7" s="3" t="s">
        <v>29</v>
      </c>
      <c r="B7" s="3">
        <v>0</v>
      </c>
      <c r="C7" s="3">
        <v>2401</v>
      </c>
      <c r="D7" s="3">
        <v>101</v>
      </c>
      <c r="E7" s="3">
        <v>0</v>
      </c>
      <c r="F7" s="3">
        <v>26</v>
      </c>
      <c r="G7" s="3">
        <v>0</v>
      </c>
      <c r="H7" s="3">
        <v>270</v>
      </c>
      <c r="I7" s="3">
        <v>0</v>
      </c>
    </row>
    <row r="8" spans="1:9" x14ac:dyDescent="0.35">
      <c r="A8" s="3" t="s">
        <v>30</v>
      </c>
      <c r="B8" s="3">
        <v>0</v>
      </c>
      <c r="C8" s="3">
        <v>0</v>
      </c>
      <c r="D8" s="3">
        <v>0</v>
      </c>
      <c r="E8" s="3">
        <v>0</v>
      </c>
      <c r="F8" s="3">
        <v>0</v>
      </c>
      <c r="G8" s="3">
        <v>0</v>
      </c>
      <c r="H8" s="3">
        <v>0</v>
      </c>
      <c r="I8" s="3">
        <v>0</v>
      </c>
    </row>
    <row r="9" spans="1:9" x14ac:dyDescent="0.35">
      <c r="A9" s="3" t="s">
        <v>31</v>
      </c>
      <c r="B9" s="3">
        <v>0</v>
      </c>
      <c r="C9" s="3">
        <v>0</v>
      </c>
      <c r="D9" s="3">
        <v>0</v>
      </c>
      <c r="E9" s="3">
        <v>0</v>
      </c>
      <c r="F9" s="3">
        <v>0</v>
      </c>
      <c r="G9" s="3">
        <v>0</v>
      </c>
      <c r="H9" s="3">
        <v>0</v>
      </c>
      <c r="I9" s="3">
        <v>0</v>
      </c>
    </row>
    <row r="10" spans="1:9" x14ac:dyDescent="0.35">
      <c r="A10" s="3" t="s">
        <v>32</v>
      </c>
      <c r="B10" s="3">
        <v>0</v>
      </c>
      <c r="C10" s="3">
        <v>2485</v>
      </c>
      <c r="D10" s="3">
        <v>84</v>
      </c>
      <c r="E10" s="3">
        <v>0</v>
      </c>
      <c r="F10" s="3">
        <v>42</v>
      </c>
      <c r="G10" s="3">
        <v>2485</v>
      </c>
      <c r="H10" s="3">
        <v>276</v>
      </c>
      <c r="I10" s="3">
        <v>39</v>
      </c>
    </row>
    <row r="11" spans="1:9" x14ac:dyDescent="0.35">
      <c r="A11" s="3" t="s">
        <v>33</v>
      </c>
      <c r="B11" s="3">
        <v>707</v>
      </c>
      <c r="C11" s="3">
        <v>2528</v>
      </c>
      <c r="D11" s="3">
        <v>108</v>
      </c>
      <c r="E11" s="3">
        <v>0</v>
      </c>
      <c r="F11" s="3">
        <v>23</v>
      </c>
      <c r="G11" s="3">
        <v>2528</v>
      </c>
      <c r="H11" s="3">
        <v>341</v>
      </c>
      <c r="I11" s="3">
        <v>38</v>
      </c>
    </row>
    <row r="12" spans="1:9" x14ac:dyDescent="0.35">
      <c r="A12" s="3" t="s">
        <v>34</v>
      </c>
      <c r="B12" s="3">
        <v>571</v>
      </c>
      <c r="C12" s="3">
        <v>2458</v>
      </c>
      <c r="D12" s="3">
        <v>80</v>
      </c>
      <c r="E12" s="3">
        <v>0</v>
      </c>
      <c r="F12" s="3">
        <v>28</v>
      </c>
      <c r="G12" s="3">
        <v>2458</v>
      </c>
      <c r="H12" s="3">
        <v>226</v>
      </c>
      <c r="I12" s="3">
        <v>36</v>
      </c>
    </row>
    <row r="13" spans="1:9" x14ac:dyDescent="0.35">
      <c r="A13" s="3" t="s">
        <v>35</v>
      </c>
      <c r="B13" s="3">
        <v>599</v>
      </c>
      <c r="C13" s="3">
        <v>2396</v>
      </c>
      <c r="D13" s="3" t="s">
        <v>21</v>
      </c>
      <c r="E13" s="3">
        <v>1</v>
      </c>
      <c r="F13" s="3">
        <v>48</v>
      </c>
      <c r="G13" s="3">
        <v>2396</v>
      </c>
      <c r="H13" s="3">
        <v>196</v>
      </c>
      <c r="I13" s="3">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B3ADB-9741-4E30-83AF-277EAE8E2021}">
  <dimension ref="A3:B16"/>
  <sheetViews>
    <sheetView workbookViewId="0">
      <selection activeCell="K15" sqref="K15"/>
    </sheetView>
  </sheetViews>
  <sheetFormatPr defaultRowHeight="14.5" x14ac:dyDescent="0.35"/>
  <cols>
    <col min="1" max="1" width="12.36328125" bestFit="1" customWidth="1"/>
    <col min="2" max="2" width="20.90625" bestFit="1" customWidth="1"/>
  </cols>
  <sheetData>
    <row r="3" spans="1:2" x14ac:dyDescent="0.35">
      <c r="A3" s="5" t="s">
        <v>37</v>
      </c>
      <c r="B3" t="s">
        <v>43</v>
      </c>
    </row>
    <row r="4" spans="1:2" x14ac:dyDescent="0.35">
      <c r="A4" s="6" t="s">
        <v>24</v>
      </c>
      <c r="B4">
        <v>2379</v>
      </c>
    </row>
    <row r="5" spans="1:2" x14ac:dyDescent="0.35">
      <c r="A5" s="6" t="s">
        <v>25</v>
      </c>
      <c r="B5">
        <v>2407</v>
      </c>
    </row>
    <row r="6" spans="1:2" x14ac:dyDescent="0.35">
      <c r="A6" s="6" t="s">
        <v>26</v>
      </c>
      <c r="B6">
        <v>2377</v>
      </c>
    </row>
    <row r="7" spans="1:2" x14ac:dyDescent="0.35">
      <c r="A7" s="6" t="s">
        <v>27</v>
      </c>
      <c r="B7">
        <v>2362</v>
      </c>
    </row>
    <row r="8" spans="1:2" x14ac:dyDescent="0.35">
      <c r="A8" s="6" t="s">
        <v>28</v>
      </c>
      <c r="B8">
        <v>2359</v>
      </c>
    </row>
    <row r="9" spans="1:2" x14ac:dyDescent="0.35">
      <c r="A9" s="6" t="s">
        <v>29</v>
      </c>
      <c r="B9">
        <v>0</v>
      </c>
    </row>
    <row r="10" spans="1:2" x14ac:dyDescent="0.35">
      <c r="A10" s="6" t="s">
        <v>30</v>
      </c>
      <c r="B10">
        <v>0</v>
      </c>
    </row>
    <row r="11" spans="1:2" x14ac:dyDescent="0.35">
      <c r="A11" s="6" t="s">
        <v>31</v>
      </c>
      <c r="B11">
        <v>0</v>
      </c>
    </row>
    <row r="12" spans="1:2" x14ac:dyDescent="0.35">
      <c r="A12" s="6" t="s">
        <v>32</v>
      </c>
      <c r="B12">
        <v>2485</v>
      </c>
    </row>
    <row r="13" spans="1:2" x14ac:dyDescent="0.35">
      <c r="A13" s="6" t="s">
        <v>33</v>
      </c>
      <c r="B13">
        <v>2528</v>
      </c>
    </row>
    <row r="14" spans="1:2" x14ac:dyDescent="0.35">
      <c r="A14" s="6" t="s">
        <v>34</v>
      </c>
      <c r="B14">
        <v>2458</v>
      </c>
    </row>
    <row r="15" spans="1:2" x14ac:dyDescent="0.35">
      <c r="A15" s="6" t="s">
        <v>35</v>
      </c>
      <c r="B15">
        <v>2396</v>
      </c>
    </row>
    <row r="16" spans="1:2" x14ac:dyDescent="0.35">
      <c r="A16" s="6" t="s">
        <v>38</v>
      </c>
      <c r="B16">
        <v>21751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AB5EB-CD54-4A1C-BCB4-2FBC844B5910}">
  <dimension ref="A3:B16"/>
  <sheetViews>
    <sheetView workbookViewId="0">
      <selection activeCell="E19" sqref="E19"/>
    </sheetView>
  </sheetViews>
  <sheetFormatPr defaultRowHeight="14.5" x14ac:dyDescent="0.35"/>
  <cols>
    <col min="1" max="1" width="12.36328125" bestFit="1" customWidth="1"/>
    <col min="2" max="2" width="28.90625" bestFit="1" customWidth="1"/>
  </cols>
  <sheetData>
    <row r="3" spans="1:2" x14ac:dyDescent="0.35">
      <c r="A3" s="5" t="s">
        <v>37</v>
      </c>
      <c r="B3" t="s">
        <v>42</v>
      </c>
    </row>
    <row r="4" spans="1:2" x14ac:dyDescent="0.35">
      <c r="A4" s="6" t="s">
        <v>24</v>
      </c>
      <c r="B4">
        <v>60</v>
      </c>
    </row>
    <row r="5" spans="1:2" x14ac:dyDescent="0.35">
      <c r="A5" s="6" t="s">
        <v>25</v>
      </c>
      <c r="B5">
        <v>46</v>
      </c>
    </row>
    <row r="6" spans="1:2" x14ac:dyDescent="0.35">
      <c r="A6" s="6" t="s">
        <v>26</v>
      </c>
      <c r="B6">
        <v>47</v>
      </c>
    </row>
    <row r="7" spans="1:2" x14ac:dyDescent="0.35">
      <c r="A7" s="6" t="s">
        <v>27</v>
      </c>
      <c r="B7">
        <v>62</v>
      </c>
    </row>
    <row r="8" spans="1:2" x14ac:dyDescent="0.35">
      <c r="A8" s="6" t="s">
        <v>28</v>
      </c>
      <c r="B8">
        <v>57</v>
      </c>
    </row>
    <row r="9" spans="1:2" x14ac:dyDescent="0.35">
      <c r="A9" s="6" t="s">
        <v>29</v>
      </c>
      <c r="B9">
        <v>0</v>
      </c>
    </row>
    <row r="10" spans="1:2" x14ac:dyDescent="0.35">
      <c r="A10" s="6" t="s">
        <v>30</v>
      </c>
      <c r="B10">
        <v>0</v>
      </c>
    </row>
    <row r="11" spans="1:2" x14ac:dyDescent="0.35">
      <c r="A11" s="6" t="s">
        <v>31</v>
      </c>
      <c r="B11">
        <v>0</v>
      </c>
    </row>
    <row r="12" spans="1:2" x14ac:dyDescent="0.35">
      <c r="A12" s="6" t="s">
        <v>32</v>
      </c>
      <c r="B12">
        <v>39</v>
      </c>
    </row>
    <row r="13" spans="1:2" x14ac:dyDescent="0.35">
      <c r="A13" s="6" t="s">
        <v>33</v>
      </c>
      <c r="B13">
        <v>38</v>
      </c>
    </row>
    <row r="14" spans="1:2" x14ac:dyDescent="0.35">
      <c r="A14" s="6" t="s">
        <v>34</v>
      </c>
      <c r="B14">
        <v>36</v>
      </c>
    </row>
    <row r="15" spans="1:2" x14ac:dyDescent="0.35">
      <c r="A15" s="6" t="s">
        <v>35</v>
      </c>
      <c r="B15">
        <v>33</v>
      </c>
    </row>
    <row r="16" spans="1:2" x14ac:dyDescent="0.35">
      <c r="A16" s="6" t="s">
        <v>38</v>
      </c>
      <c r="B16">
        <v>418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146F3-A7A6-4CFC-AD77-213D495B20B7}">
  <dimension ref="A3:B16"/>
  <sheetViews>
    <sheetView workbookViewId="0">
      <selection activeCell="A3" sqref="A3"/>
    </sheetView>
  </sheetViews>
  <sheetFormatPr defaultRowHeight="14.5" x14ac:dyDescent="0.35"/>
  <cols>
    <col min="1" max="1" width="12.36328125" bestFit="1" customWidth="1"/>
    <col min="2" max="2" width="23.81640625" bestFit="1" customWidth="1"/>
  </cols>
  <sheetData>
    <row r="3" spans="1:2" x14ac:dyDescent="0.35">
      <c r="A3" s="5" t="s">
        <v>37</v>
      </c>
      <c r="B3" t="s">
        <v>41</v>
      </c>
    </row>
    <row r="4" spans="1:2" x14ac:dyDescent="0.35">
      <c r="A4" s="6" t="s">
        <v>35</v>
      </c>
      <c r="B4">
        <v>196</v>
      </c>
    </row>
    <row r="5" spans="1:2" x14ac:dyDescent="0.35">
      <c r="A5" s="6" t="s">
        <v>34</v>
      </c>
      <c r="B5">
        <v>226</v>
      </c>
    </row>
    <row r="6" spans="1:2" x14ac:dyDescent="0.35">
      <c r="A6" s="6" t="s">
        <v>33</v>
      </c>
      <c r="B6">
        <v>341</v>
      </c>
    </row>
    <row r="7" spans="1:2" x14ac:dyDescent="0.35">
      <c r="A7" s="6" t="s">
        <v>32</v>
      </c>
      <c r="B7">
        <v>276</v>
      </c>
    </row>
    <row r="8" spans="1:2" x14ac:dyDescent="0.35">
      <c r="A8" s="6" t="s">
        <v>31</v>
      </c>
      <c r="B8">
        <v>0</v>
      </c>
    </row>
    <row r="9" spans="1:2" x14ac:dyDescent="0.35">
      <c r="A9" s="6" t="s">
        <v>30</v>
      </c>
      <c r="B9">
        <v>0</v>
      </c>
    </row>
    <row r="10" spans="1:2" x14ac:dyDescent="0.35">
      <c r="A10" s="6" t="s">
        <v>29</v>
      </c>
      <c r="B10">
        <v>270</v>
      </c>
    </row>
    <row r="11" spans="1:2" x14ac:dyDescent="0.35">
      <c r="A11" s="6" t="s">
        <v>28</v>
      </c>
      <c r="B11">
        <v>241</v>
      </c>
    </row>
    <row r="12" spans="1:2" x14ac:dyDescent="0.35">
      <c r="A12" s="6" t="s">
        <v>27</v>
      </c>
      <c r="B12">
        <v>265</v>
      </c>
    </row>
    <row r="13" spans="1:2" x14ac:dyDescent="0.35">
      <c r="A13" s="6" t="s">
        <v>26</v>
      </c>
      <c r="B13">
        <v>211</v>
      </c>
    </row>
    <row r="14" spans="1:2" x14ac:dyDescent="0.35">
      <c r="A14" s="6" t="s">
        <v>25</v>
      </c>
      <c r="B14">
        <v>258</v>
      </c>
    </row>
    <row r="15" spans="1:2" x14ac:dyDescent="0.35">
      <c r="A15" s="6" t="s">
        <v>24</v>
      </c>
      <c r="B15">
        <v>267</v>
      </c>
    </row>
    <row r="16" spans="1:2" x14ac:dyDescent="0.35">
      <c r="A16" s="6" t="s">
        <v>38</v>
      </c>
      <c r="B16">
        <v>2551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AFB2-7577-42ED-9C89-265B47337889}">
  <dimension ref="A3:B16"/>
  <sheetViews>
    <sheetView workbookViewId="0">
      <selection activeCell="K17" sqref="K17"/>
    </sheetView>
  </sheetViews>
  <sheetFormatPr defaultRowHeight="14.5" x14ac:dyDescent="0.35"/>
  <cols>
    <col min="1" max="1" width="12.36328125" bestFit="1" customWidth="1"/>
    <col min="2" max="2" width="29" bestFit="1" customWidth="1"/>
  </cols>
  <sheetData>
    <row r="3" spans="1:2" x14ac:dyDescent="0.35">
      <c r="A3" s="5" t="s">
        <v>37</v>
      </c>
      <c r="B3" t="s">
        <v>40</v>
      </c>
    </row>
    <row r="4" spans="1:2" x14ac:dyDescent="0.35">
      <c r="A4" s="6" t="s">
        <v>24</v>
      </c>
      <c r="B4">
        <v>21</v>
      </c>
    </row>
    <row r="5" spans="1:2" x14ac:dyDescent="0.35">
      <c r="A5" s="6" t="s">
        <v>25</v>
      </c>
      <c r="B5">
        <v>32</v>
      </c>
    </row>
    <row r="6" spans="1:2" x14ac:dyDescent="0.35">
      <c r="A6" s="6" t="s">
        <v>26</v>
      </c>
      <c r="B6">
        <v>28</v>
      </c>
    </row>
    <row r="7" spans="1:2" x14ac:dyDescent="0.35">
      <c r="A7" s="6" t="s">
        <v>27</v>
      </c>
      <c r="B7">
        <v>62</v>
      </c>
    </row>
    <row r="8" spans="1:2" x14ac:dyDescent="0.35">
      <c r="A8" s="6" t="s">
        <v>28</v>
      </c>
      <c r="B8">
        <v>46</v>
      </c>
    </row>
    <row r="9" spans="1:2" x14ac:dyDescent="0.35">
      <c r="A9" s="6" t="s">
        <v>29</v>
      </c>
      <c r="B9">
        <v>26</v>
      </c>
    </row>
    <row r="10" spans="1:2" x14ac:dyDescent="0.35">
      <c r="A10" s="6" t="s">
        <v>30</v>
      </c>
      <c r="B10">
        <v>0</v>
      </c>
    </row>
    <row r="11" spans="1:2" x14ac:dyDescent="0.35">
      <c r="A11" s="6" t="s">
        <v>31</v>
      </c>
      <c r="B11">
        <v>0</v>
      </c>
    </row>
    <row r="12" spans="1:2" x14ac:dyDescent="0.35">
      <c r="A12" s="6" t="s">
        <v>32</v>
      </c>
      <c r="B12">
        <v>42</v>
      </c>
    </row>
    <row r="13" spans="1:2" x14ac:dyDescent="0.35">
      <c r="A13" s="6" t="s">
        <v>33</v>
      </c>
      <c r="B13">
        <v>23</v>
      </c>
    </row>
    <row r="14" spans="1:2" x14ac:dyDescent="0.35">
      <c r="A14" s="6" t="s">
        <v>34</v>
      </c>
      <c r="B14">
        <v>28</v>
      </c>
    </row>
    <row r="15" spans="1:2" x14ac:dyDescent="0.35">
      <c r="A15" s="6" t="s">
        <v>35</v>
      </c>
      <c r="B15">
        <v>48</v>
      </c>
    </row>
    <row r="16" spans="1:2" x14ac:dyDescent="0.35">
      <c r="A16" s="6" t="s">
        <v>38</v>
      </c>
      <c r="B16">
        <v>356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34913-0E54-463F-93C7-2A5B8158FEC9}">
  <dimension ref="A3:C16"/>
  <sheetViews>
    <sheetView topLeftCell="A15" workbookViewId="0">
      <selection activeCell="C3" sqref="C3"/>
    </sheetView>
  </sheetViews>
  <sheetFormatPr defaultRowHeight="14.5" x14ac:dyDescent="0.35"/>
  <cols>
    <col min="1" max="1" width="12.36328125" bestFit="1" customWidth="1"/>
    <col min="2" max="2" width="38.7265625" bestFit="1" customWidth="1"/>
    <col min="3" max="3" width="28.26953125" bestFit="1" customWidth="1"/>
  </cols>
  <sheetData>
    <row r="3" spans="1:3" x14ac:dyDescent="0.35">
      <c r="A3" s="5" t="s">
        <v>37</v>
      </c>
      <c r="B3" t="s">
        <v>44</v>
      </c>
      <c r="C3" t="s">
        <v>45</v>
      </c>
    </row>
    <row r="4" spans="1:3" x14ac:dyDescent="0.35">
      <c r="A4" s="6" t="s">
        <v>35</v>
      </c>
      <c r="B4">
        <v>1</v>
      </c>
      <c r="C4">
        <v>0</v>
      </c>
    </row>
    <row r="5" spans="1:3" x14ac:dyDescent="0.35">
      <c r="A5" s="6" t="s">
        <v>34</v>
      </c>
      <c r="B5">
        <v>0</v>
      </c>
      <c r="C5">
        <v>80</v>
      </c>
    </row>
    <row r="6" spans="1:3" x14ac:dyDescent="0.35">
      <c r="A6" s="6" t="s">
        <v>33</v>
      </c>
      <c r="B6">
        <v>0</v>
      </c>
      <c r="C6">
        <v>108</v>
      </c>
    </row>
    <row r="7" spans="1:3" x14ac:dyDescent="0.35">
      <c r="A7" s="6" t="s">
        <v>32</v>
      </c>
      <c r="B7">
        <v>0</v>
      </c>
      <c r="C7">
        <v>84</v>
      </c>
    </row>
    <row r="8" spans="1:3" x14ac:dyDescent="0.35">
      <c r="A8" s="6" t="s">
        <v>31</v>
      </c>
      <c r="B8">
        <v>0</v>
      </c>
      <c r="C8">
        <v>0</v>
      </c>
    </row>
    <row r="9" spans="1:3" x14ac:dyDescent="0.35">
      <c r="A9" s="6" t="s">
        <v>30</v>
      </c>
      <c r="B9">
        <v>0</v>
      </c>
      <c r="C9">
        <v>0</v>
      </c>
    </row>
    <row r="10" spans="1:3" x14ac:dyDescent="0.35">
      <c r="A10" s="6" t="s">
        <v>29</v>
      </c>
      <c r="B10">
        <v>0</v>
      </c>
      <c r="C10">
        <v>101</v>
      </c>
    </row>
    <row r="11" spans="1:3" x14ac:dyDescent="0.35">
      <c r="A11" s="6" t="s">
        <v>28</v>
      </c>
      <c r="B11">
        <v>0</v>
      </c>
      <c r="C11">
        <v>91</v>
      </c>
    </row>
    <row r="12" spans="1:3" x14ac:dyDescent="0.35">
      <c r="A12" s="6" t="s">
        <v>27</v>
      </c>
      <c r="B12">
        <v>0</v>
      </c>
      <c r="C12">
        <v>82</v>
      </c>
    </row>
    <row r="13" spans="1:3" x14ac:dyDescent="0.35">
      <c r="A13" s="6" t="s">
        <v>26</v>
      </c>
      <c r="B13">
        <v>1</v>
      </c>
      <c r="C13">
        <v>64</v>
      </c>
    </row>
    <row r="14" spans="1:3" x14ac:dyDescent="0.35">
      <c r="A14" s="6" t="s">
        <v>25</v>
      </c>
      <c r="B14">
        <v>0</v>
      </c>
      <c r="C14">
        <v>99</v>
      </c>
    </row>
    <row r="15" spans="1:3" x14ac:dyDescent="0.35">
      <c r="A15" s="6" t="s">
        <v>24</v>
      </c>
      <c r="B15">
        <v>0</v>
      </c>
      <c r="C15">
        <v>126</v>
      </c>
    </row>
    <row r="16" spans="1:3" x14ac:dyDescent="0.35">
      <c r="A16" s="6" t="s">
        <v>38</v>
      </c>
      <c r="B16">
        <v>2</v>
      </c>
      <c r="C16">
        <v>835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8DE73-5D3C-432E-8E84-2DCB5F99C512}">
  <dimension ref="A3:B16"/>
  <sheetViews>
    <sheetView workbookViewId="0">
      <selection activeCell="B10" sqref="B10"/>
    </sheetView>
  </sheetViews>
  <sheetFormatPr defaultRowHeight="14.5" x14ac:dyDescent="0.35"/>
  <cols>
    <col min="1" max="1" width="12.36328125" bestFit="1" customWidth="1"/>
    <col min="2" max="2" width="18" bestFit="1" customWidth="1"/>
  </cols>
  <sheetData>
    <row r="3" spans="1:2" x14ac:dyDescent="0.35">
      <c r="A3" s="5" t="s">
        <v>37</v>
      </c>
      <c r="B3" t="s">
        <v>39</v>
      </c>
    </row>
    <row r="4" spans="1:2" x14ac:dyDescent="0.35">
      <c r="A4" s="6" t="s">
        <v>24</v>
      </c>
      <c r="B4">
        <v>2379</v>
      </c>
    </row>
    <row r="5" spans="1:2" x14ac:dyDescent="0.35">
      <c r="A5" s="6" t="s">
        <v>25</v>
      </c>
      <c r="B5">
        <v>2407</v>
      </c>
    </row>
    <row r="6" spans="1:2" x14ac:dyDescent="0.35">
      <c r="A6" s="6" t="s">
        <v>26</v>
      </c>
      <c r="B6">
        <v>2377</v>
      </c>
    </row>
    <row r="7" spans="1:2" x14ac:dyDescent="0.35">
      <c r="A7" s="6" t="s">
        <v>27</v>
      </c>
      <c r="B7">
        <v>2362</v>
      </c>
    </row>
    <row r="8" spans="1:2" x14ac:dyDescent="0.35">
      <c r="A8" s="6" t="s">
        <v>28</v>
      </c>
      <c r="B8">
        <v>2359</v>
      </c>
    </row>
    <row r="9" spans="1:2" x14ac:dyDescent="0.35">
      <c r="A9" s="6" t="s">
        <v>29</v>
      </c>
      <c r="B9">
        <v>2401</v>
      </c>
    </row>
    <row r="10" spans="1:2" x14ac:dyDescent="0.35">
      <c r="A10" s="6" t="s">
        <v>30</v>
      </c>
      <c r="B10">
        <v>0</v>
      </c>
    </row>
    <row r="11" spans="1:2" x14ac:dyDescent="0.35">
      <c r="A11" s="6" t="s">
        <v>31</v>
      </c>
      <c r="B11">
        <v>0</v>
      </c>
    </row>
    <row r="12" spans="1:2" x14ac:dyDescent="0.35">
      <c r="A12" s="6" t="s">
        <v>32</v>
      </c>
      <c r="B12">
        <v>2485</v>
      </c>
    </row>
    <row r="13" spans="1:2" x14ac:dyDescent="0.35">
      <c r="A13" s="6" t="s">
        <v>33</v>
      </c>
      <c r="B13">
        <v>2528</v>
      </c>
    </row>
    <row r="14" spans="1:2" x14ac:dyDescent="0.35">
      <c r="A14" s="6" t="s">
        <v>34</v>
      </c>
      <c r="B14">
        <v>2458</v>
      </c>
    </row>
    <row r="15" spans="1:2" x14ac:dyDescent="0.35">
      <c r="A15" s="6" t="s">
        <v>35</v>
      </c>
      <c r="B15">
        <v>2396</v>
      </c>
    </row>
    <row r="16" spans="1:2" x14ac:dyDescent="0.35">
      <c r="A16" s="6" t="s">
        <v>38</v>
      </c>
      <c r="B16">
        <v>24152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Initial WIC Data</vt:lpstr>
      <vt:lpstr>WIC Data</vt:lpstr>
      <vt:lpstr>Client Education Sessions Trend</vt:lpstr>
      <vt:lpstr>Distribution of TexasWIC.org Re</vt:lpstr>
      <vt:lpstr>Monthly In-House Lab Activity</vt:lpstr>
      <vt:lpstr>Proportion of Location Counseli</vt:lpstr>
      <vt:lpstr>Peer Counselor Visits and After</vt:lpstr>
      <vt:lpstr>Monthly WIC Participation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Rao</dc:creator>
  <cp:lastModifiedBy>Pranav Rao</cp:lastModifiedBy>
  <dcterms:created xsi:type="dcterms:W3CDTF">2015-06-05T18:17:20Z</dcterms:created>
  <dcterms:modified xsi:type="dcterms:W3CDTF">2025-07-31T21:52:48Z</dcterms:modified>
</cp:coreProperties>
</file>