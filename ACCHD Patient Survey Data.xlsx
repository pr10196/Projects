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phisf\Downloads\H2TX\ACCHD Health Data\"/>
    </mc:Choice>
  </mc:AlternateContent>
  <xr:revisionPtr revIDLastSave="0" documentId="13_ncr:1_{2C933CA7-317E-4C2E-9D21-BBB193EFBFCE}" xr6:coauthVersionLast="47" xr6:coauthVersionMax="47" xr10:uidLastSave="{00000000-0000-0000-0000-000000000000}"/>
  <bookViews>
    <workbookView xWindow="-110" yWindow="-110" windowWidth="19420" windowHeight="10300" xr2:uid="{0F1E5058-AFA8-4196-888D-5DCF741A8341}"/>
  </bookViews>
  <sheets>
    <sheet name="Dashboard" sheetId="24" r:id="rId1"/>
    <sheet name="Patient Data" sheetId="2" r:id="rId2"/>
    <sheet name="Average Percentage Score" sheetId="15" r:id="rId3"/>
    <sheet name="How long have patients attended" sheetId="14" r:id="rId4"/>
    <sheet name="How did you hear about us" sheetId="18" r:id="rId5"/>
    <sheet name="Satisfaction of Care by Departm" sheetId="23" r:id="rId6"/>
    <sheet name="Appt Convenience" sheetId="30" r:id="rId7"/>
    <sheet name="Adequately answer questions" sheetId="31" r:id="rId8"/>
  </sheets>
  <definedNames>
    <definedName name="_xlnm._FilterDatabase" localSheetId="1" hidden="1">'Patient Data'!$A$1:$L$21</definedName>
    <definedName name="Slicer_Department__PHC__Pharm__Front_Desk__Kid_s_Care__Immun__WIC__Women_s_Care__Angelina_Co_Connects__Other">#N/A</definedName>
    <definedName name="Slicer_Duration_of_Service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2" l="1"/>
  <c r="L6" i="2"/>
  <c r="L7" i="2"/>
  <c r="L8" i="2"/>
  <c r="L9" i="2"/>
  <c r="L10" i="2"/>
  <c r="L11" i="2"/>
  <c r="L12" i="2"/>
  <c r="L13" i="2"/>
  <c r="L14" i="2"/>
  <c r="L15" i="2"/>
  <c r="L16" i="2"/>
  <c r="L17" i="2"/>
  <c r="L18" i="2"/>
  <c r="L19" i="2"/>
  <c r="L20" i="2"/>
  <c r="L21" i="2"/>
  <c r="L4" i="2"/>
  <c r="L3" i="2"/>
  <c r="L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328044-75CD-46A4-978E-6E1152BDC2C2}"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2" xr16:uid="{AE2D86EC-9607-459B-8C2F-807989D17FC4}"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<sst xmlns="http://schemas.openxmlformats.org/spreadsheetml/2006/main" count="200" uniqueCount="34">
  <si>
    <t>How did you hear about us?</t>
  </si>
  <si>
    <t>Yes</t>
  </si>
  <si>
    <t>Web page</t>
  </si>
  <si>
    <t>PHC</t>
  </si>
  <si>
    <t>Row Labels</t>
  </si>
  <si>
    <t>Grand Total</t>
  </si>
  <si>
    <t>Patient</t>
  </si>
  <si>
    <t>Kid's Care</t>
  </si>
  <si>
    <t>No</t>
  </si>
  <si>
    <t>Immun</t>
  </si>
  <si>
    <t>WIC</t>
  </si>
  <si>
    <t>Percentage</t>
  </si>
  <si>
    <t>Front Desk</t>
  </si>
  <si>
    <t>Angelina Co Connects</t>
  </si>
  <si>
    <t>Other</t>
  </si>
  <si>
    <t>Women's Care</t>
  </si>
  <si>
    <t>(All)</t>
  </si>
  <si>
    <t>Average of Percentage</t>
  </si>
  <si>
    <t>Count of Patient</t>
  </si>
  <si>
    <t>Word of mouth</t>
  </si>
  <si>
    <t>Physician referral</t>
  </si>
  <si>
    <t>Duration of Services</t>
  </si>
  <si>
    <t>Department (PHC, Pharm, Front Desk, Kid's Care, Immun, WIC, Women's Care, Angelina Co Connects, Other)</t>
  </si>
  <si>
    <t>Is the staff courteous and helpful?</t>
  </si>
  <si>
    <t>Satisfaction with the quality of services</t>
  </si>
  <si>
    <t>Overall Experience Rating (1-5)</t>
  </si>
  <si>
    <t>6-9 months</t>
  </si>
  <si>
    <t>0-3 months</t>
  </si>
  <si>
    <t>1+  years</t>
  </si>
  <si>
    <t>3-6 months</t>
  </si>
  <si>
    <t>Adequately answered questions?</t>
  </si>
  <si>
    <t>Convenience of Setting Appointment</t>
  </si>
  <si>
    <t>Please tell us what can we do to make your experience better.</t>
  </si>
  <si>
    <t>If there was one thing you would change about your experience at ACCHD, what would it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</si>
</sst>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1" xfId="0" applyBorder="1" applyAlignment="1">
      <alignment horizontal="center"/>
    </xf>
    <xf numFmtId="0" fontId="0" fillId="0" borderId="2" xfId="0" applyBorder="1" applyAlignment="1">
      <alignment horizontal="center"/>
    </xf>
    <xf numFmtId="0" fontId="1" fillId="0" borderId="3" xfId="0" applyFont="1" applyBorder="1" applyAlignment="1">
      <alignment horizontal="center" vertical="center"/>
    </xf>
    <xf numFmtId="0" fontId="0" fillId="0" borderId="3" xfId="0" applyBorder="1" applyAlignment="1">
      <alignment horizontal="center" vertical="center" wrapText="1"/>
    </xf>
    <xf numFmtId="0" fontId="1" fillId="0" borderId="4" xfId="0" applyFont="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2" fontId="0" fillId="0" borderId="0" xfId="0" applyNumberFormat="1"/>
    <xf numFmtId="0" fontId="0" fillId="0" borderId="4" xfId="0" applyBorder="1" applyAlignment="1">
      <alignment horizontal="center" vertical="center" wrapText="1"/>
    </xf>
  </cellXfs>
  <cellStyles count="1">
    <cellStyle name="Normal" xfId="0" builtinId="0"/>
  </cellStyles>
  <dxfs count="18">
    <dxf>
      <numFmt numFmtId="2" formatCode="0.0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Patient Survey Data.xlsx]Average Percentage Score!Average Percentage Score of Survey </c:name>
    <c:fmtId val="57"/>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Average Percentage Score of Survey </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Percentage Score'!$B$3</c:f>
              <c:strCache>
                <c:ptCount val="1"/>
                <c:pt idx="0">
                  <c:v>Total</c:v>
                </c:pt>
              </c:strCache>
            </c:strRef>
          </c:tx>
          <c:spPr>
            <a:solidFill>
              <a:schemeClr val="accent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Percentage Score'!$A$4:$A$12</c:f>
              <c:strCache>
                <c:ptCount val="8"/>
                <c:pt idx="0">
                  <c:v>Angelina Co Connects</c:v>
                </c:pt>
                <c:pt idx="1">
                  <c:v>Front Desk</c:v>
                </c:pt>
                <c:pt idx="2">
                  <c:v>Immun</c:v>
                </c:pt>
                <c:pt idx="3">
                  <c:v>Kid's Care</c:v>
                </c:pt>
                <c:pt idx="4">
                  <c:v>Other</c:v>
                </c:pt>
                <c:pt idx="5">
                  <c:v>PHC</c:v>
                </c:pt>
                <c:pt idx="6">
                  <c:v>WIC</c:v>
                </c:pt>
                <c:pt idx="7">
                  <c:v>Women's Care</c:v>
                </c:pt>
              </c:strCache>
            </c:strRef>
          </c:cat>
          <c:val>
            <c:numRef>
              <c:f>'Average Percentage Score'!$B$4:$B$12</c:f>
              <c:numCache>
                <c:formatCode>0.00</c:formatCode>
                <c:ptCount val="8"/>
                <c:pt idx="0">
                  <c:v>0.3</c:v>
                </c:pt>
                <c:pt idx="1">
                  <c:v>1</c:v>
                </c:pt>
                <c:pt idx="2">
                  <c:v>0.3833333333333333</c:v>
                </c:pt>
                <c:pt idx="3">
                  <c:v>0.88749999999999996</c:v>
                </c:pt>
                <c:pt idx="4">
                  <c:v>0.25</c:v>
                </c:pt>
                <c:pt idx="5">
                  <c:v>0.51666666666666672</c:v>
                </c:pt>
                <c:pt idx="6">
                  <c:v>0.58333333333333337</c:v>
                </c:pt>
                <c:pt idx="7">
                  <c:v>0.875</c:v>
                </c:pt>
              </c:numCache>
            </c:numRef>
          </c:val>
          <c:extLst>
            <c:ext xmlns:c16="http://schemas.microsoft.com/office/drawing/2014/chart" uri="{C3380CC4-5D6E-409C-BE32-E72D297353CC}">
              <c16:uniqueId val="{00000000-8571-4F7C-808A-1596502623E8}"/>
            </c:ext>
          </c:extLst>
        </c:ser>
        <c:dLbls>
          <c:showLegendKey val="0"/>
          <c:showVal val="0"/>
          <c:showCatName val="0"/>
          <c:showSerName val="0"/>
          <c:showPercent val="0"/>
          <c:showBubbleSize val="0"/>
        </c:dLbls>
        <c:gapWidth val="115"/>
        <c:overlap val="-20"/>
        <c:axId val="2036714175"/>
        <c:axId val="2036718975"/>
      </c:barChart>
      <c:catAx>
        <c:axId val="20367141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36718975"/>
        <c:crosses val="autoZero"/>
        <c:auto val="1"/>
        <c:lblAlgn val="ctr"/>
        <c:lblOffset val="100"/>
        <c:noMultiLvlLbl val="0"/>
      </c:catAx>
      <c:valAx>
        <c:axId val="2036718975"/>
        <c:scaling>
          <c:orientation val="minMax"/>
          <c:max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65000"/>
                        <a:lumOff val="35000"/>
                      </a:sysClr>
                    </a:solidFill>
                    <a:latin typeface="+mn-lt"/>
                    <a:ea typeface="+mn-ea"/>
                    <a:cs typeface="+mn-cs"/>
                  </a:defRPr>
                </a:pPr>
                <a:r>
                  <a:rPr lang="en-US" sz="900" b="1" i="0" u="none" strike="noStrike" kern="1200" baseline="0">
                    <a:solidFill>
                      <a:sysClr val="windowText" lastClr="000000"/>
                    </a:solidFill>
                  </a:rPr>
                  <a:t>Percentage Score (in decimals)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3671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Patient Survey Data.xlsx]How did you hear about us!PivotTable4</c:name>
    <c:fmtId val="18"/>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solidFill>
                  <a:sysClr val="windowText" lastClr="000000"/>
                </a:solidFill>
              </a:rPr>
              <a:t>How did you hear about us?</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tx>
            <c:rich>
              <a:bodyPr/>
              <a:lstStyle/>
              <a:p>
                <a:fld id="{897699C7-0C51-4C54-AD7D-1255E64FE198}"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130CD86-A7F0-4EC9-A5E0-1FE24EFE30EC}" type="PERCENTAGE">
                  <a:rPr lang="en-US"/>
                  <a:pPr>
                    <a:defRPr sz="1000" b="1" i="0" u="none" strike="noStrike" kern="1200" baseline="0">
                      <a:solidFill>
                        <a:schemeClr val="lt1"/>
                      </a:solidFill>
                      <a:latin typeface="+mn-lt"/>
                      <a:ea typeface="+mn-ea"/>
                      <a:cs typeface="+mn-cs"/>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130CD86-A7F0-4EC9-A5E0-1FE24EFE30EC}" type="PERCENTAGE">
                  <a:rPr lang="en-US"/>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'How did you hear about us'!$B$3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59-4108-8AFE-3FFF34E18DA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59-4108-8AFE-3FFF34E18DA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159-4108-8AFE-3FFF34E18DA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159-4108-8AFE-3FFF34E18DA8}"/>
              </c:ext>
            </c:extLst>
          </c:dPt>
          <c:dLbls>
            <c:dLbl>
              <c:idx val="1"/>
              <c:tx>
                <c:rich>
                  <a:bodyPr/>
                  <a:lstStyle/>
                  <a:p>
                    <a:fld id="{9130CD86-A7F0-4EC9-A5E0-1FE24EFE30EC}" type="PERCENTAGE">
                      <a:rPr lang="en-US"/>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159-4108-8AFE-3FFF34E18DA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'How did you hear about us'!$A$4:$A$8</c:f>
              <c:strCache>
                <c:ptCount val="4"/>
                <c:pt idx="0">
                  <c:v>Physician referral</c:v>
                </c:pt>
                <c:pt idx="1">
                  <c:v>Web page</c:v>
                </c:pt>
                <c:pt idx="2">
                  <c:v>Word of mouth</c:v>
                </c:pt>
                <c:pt idx="3">
                  <c:v>Other</c:v>
                </c:pt>
              </c:strCache>
            </c:strRef>
          </c:cat>
          <c:val>
            <c:numRef>
              <c:f>'How did you hear about us'!$B$4:$B$8</c:f>
              <c:numCache>
                <c:formatCode>General</c:formatCode>
                <c:ptCount val="4"/>
                <c:pt idx="0">
                  <c:v>3</c:v>
                </c:pt>
                <c:pt idx="1">
                  <c:v>6</c:v>
                </c:pt>
                <c:pt idx="2">
                  <c:v>4</c:v>
                </c:pt>
                <c:pt idx="3">
                  <c:v>7</c:v>
                </c:pt>
              </c:numCache>
            </c:numRef>
          </c:val>
          <c:extLst>
            <c:ext xmlns:c16="http://schemas.microsoft.com/office/drawing/2014/chart" uri="{C3380CC4-5D6E-409C-BE32-E72D297353CC}">
              <c16:uniqueId val="{00000008-A159-4108-8AFE-3FFF34E18DA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Patient Survey Data.xlsx]Satisfaction of Care by Departm!Satisfaction of Care by Department</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Satisfaction of Care by Department</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'Satisfaction of Care by Departm'!$B$3</c:f>
              <c:strCache>
                <c:ptCount val="1"/>
                <c:pt idx="0">
                  <c:v>Total</c:v>
                </c:pt>
              </c:strCache>
            </c:strRef>
          </c:tx>
          <c:invertIfNegative val="0"/>
          <c:cat>
            <c:strRef>
              <c:f>'Satisfaction of Care by Departm'!$A$4:$A$12</c:f>
              <c:strCache>
                <c:ptCount val="8"/>
                <c:pt idx="0">
                  <c:v>Angelina Co Connects</c:v>
                </c:pt>
                <c:pt idx="1">
                  <c:v>Front Desk</c:v>
                </c:pt>
                <c:pt idx="2">
                  <c:v>Immun</c:v>
                </c:pt>
                <c:pt idx="3">
                  <c:v>Kid's Care</c:v>
                </c:pt>
                <c:pt idx="4">
                  <c:v>Other</c:v>
                </c:pt>
                <c:pt idx="5">
                  <c:v>PHC</c:v>
                </c:pt>
                <c:pt idx="6">
                  <c:v>WIC</c:v>
                </c:pt>
                <c:pt idx="7">
                  <c:v>Women's Care</c:v>
                </c:pt>
              </c:strCache>
            </c:strRef>
          </c:cat>
          <c:val>
            <c:numRef>
              <c:f>'Satisfaction of Care by Departm'!$B$4:$B$12</c:f>
              <c:numCache>
                <c:formatCode>General</c:formatCode>
                <c:ptCount val="8"/>
                <c:pt idx="0">
                  <c:v>1</c:v>
                </c:pt>
                <c:pt idx="1">
                  <c:v>2</c:v>
                </c:pt>
                <c:pt idx="2">
                  <c:v>3</c:v>
                </c:pt>
                <c:pt idx="3">
                  <c:v>4</c:v>
                </c:pt>
                <c:pt idx="4">
                  <c:v>2</c:v>
                </c:pt>
                <c:pt idx="5">
                  <c:v>3</c:v>
                </c:pt>
                <c:pt idx="6">
                  <c:v>3</c:v>
                </c:pt>
                <c:pt idx="7">
                  <c:v>2</c:v>
                </c:pt>
              </c:numCache>
            </c:numRef>
          </c:val>
          <c:extLst>
            <c:ext xmlns:c16="http://schemas.microsoft.com/office/drawing/2014/chart" uri="{C3380CC4-5D6E-409C-BE32-E72D297353CC}">
              <c16:uniqueId val="{00000000-1223-45E9-8548-822C6868FBED}"/>
            </c:ext>
          </c:extLst>
        </c:ser>
        <c:dLbls>
          <c:showLegendKey val="0"/>
          <c:showVal val="0"/>
          <c:showCatName val="0"/>
          <c:showSerName val="0"/>
          <c:showPercent val="0"/>
          <c:showBubbleSize val="0"/>
        </c:dLbls>
        <c:gapWidth val="100"/>
        <c:overlap val="-24"/>
        <c:axId val="374500991"/>
        <c:axId val="374496671"/>
      </c:barChart>
      <c:catAx>
        <c:axId val="3745009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t>Department</a:t>
                </a:r>
              </a:p>
            </c:rich>
          </c:tx>
          <c:layout>
            <c:manualLayout>
              <c:xMode val="edge"/>
              <c:yMode val="edge"/>
              <c:x val="0.41408158355205593"/>
              <c:y val="0.80254629629629626"/>
            </c:manualLayout>
          </c:layout>
          <c:overlay val="0"/>
          <c:spPr>
            <a:noFill/>
            <a:ln>
              <a:noFill/>
            </a:ln>
            <a:effectLst/>
          </c:sp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4496671"/>
        <c:crosses val="autoZero"/>
        <c:auto val="1"/>
        <c:lblAlgn val="ctr"/>
        <c:lblOffset val="100"/>
        <c:noMultiLvlLbl val="0"/>
      </c:catAx>
      <c:valAx>
        <c:axId val="374496671"/>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t>Number of Patients</a:t>
                </a:r>
              </a:p>
            </c:rich>
          </c:tx>
          <c:layout>
            <c:manualLayout>
              <c:xMode val="edge"/>
              <c:yMode val="edge"/>
              <c:x val="3.078106591195694E-2"/>
              <c:y val="0.15363646673795409"/>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4500991"/>
        <c:crosses val="autoZero"/>
        <c:crossBetween val="between"/>
        <c:majorUnit val="1"/>
      </c:valAx>
      <c:spPr>
        <a:noFill/>
        <a:ln>
          <a:noFill/>
        </a:ln>
        <a:effectLst/>
      </c:spPr>
    </c:plotArea>
    <c:plotVisOnly val="1"/>
    <c:dispBlanksAs val="gap"/>
    <c:showDLblsOverMax val="0"/>
    <c:extLst/>
  </c:chart>
  <c:spPr>
    <a:ln>
      <a:solidFill>
        <a:sysClr val="windowText" lastClr="0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Patient Survey Data.xlsx]Appt Convenience!Appointment Convenience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rgbClr val="0E2841"/>
                </a:solidFill>
              </a:rPr>
              <a:t>Are patients able to conveniently set up an appointment?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'Appt Convenience'!$B$3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AB-444A-9376-59C4CAF0C7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AB-444A-9376-59C4CAF0C7D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'Appt Convenience'!$A$4:$A$6</c:f>
              <c:strCache>
                <c:ptCount val="2"/>
                <c:pt idx="0">
                  <c:v>No</c:v>
                </c:pt>
                <c:pt idx="1">
                  <c:v>Yes</c:v>
                </c:pt>
              </c:strCache>
            </c:strRef>
          </c:cat>
          <c:val>
            <c:numRef>
              <c:f>'Appt Convenience'!$B$4:$B$6</c:f>
              <c:numCache>
                <c:formatCode>General</c:formatCode>
                <c:ptCount val="2"/>
                <c:pt idx="0">
                  <c:v>8</c:v>
                </c:pt>
                <c:pt idx="1">
                  <c:v>12</c:v>
                </c:pt>
              </c:numCache>
            </c:numRef>
          </c:val>
          <c:extLst>
            <c:ext xmlns:c16="http://schemas.microsoft.com/office/drawing/2014/chart" uri="{C3380CC4-5D6E-409C-BE32-E72D297353CC}">
              <c16:uniqueId val="{00000004-E3AB-444A-9376-59C4CAF0C7D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Patient Survey Data.xlsx]Adequately answer questions!Adequately answer questions</c:name>
    <c:fmtId val="1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Were patient's questions adequately answered?</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'Adequately answer questions'!$B$3</c:f>
              <c:strCache>
                <c:ptCount val="1"/>
                <c:pt idx="0">
                  <c:v>Total</c:v>
                </c:pt>
              </c:strCache>
            </c:strRef>
          </c:tx>
          <c:spPr>
            <a:solidFill>
              <a:srgbClr val="C00000"/>
            </a:solidFill>
            <a:ln>
              <a:noFill/>
            </a:ln>
            <a:effectLst/>
          </c:spPr>
          <c:invertIfNegative val="0"/>
          <c:cat>
            <c:strRef>
              <c:f>'Adequately answer questions'!$A$4:$A$6</c:f>
              <c:strCache>
                <c:ptCount val="2"/>
                <c:pt idx="0">
                  <c:v>No</c:v>
                </c:pt>
                <c:pt idx="1">
                  <c:v>Yes</c:v>
                </c:pt>
              </c:strCache>
            </c:strRef>
          </c:cat>
          <c:val>
            <c:numRef>
              <c:f>'Adequately answer questions'!$B$4:$B$6</c:f>
              <c:numCache>
                <c:formatCode>General</c:formatCode>
                <c:ptCount val="2"/>
                <c:pt idx="0">
                  <c:v>8</c:v>
                </c:pt>
                <c:pt idx="1">
                  <c:v>12</c:v>
                </c:pt>
              </c:numCache>
            </c:numRef>
          </c:val>
          <c:extLst>
            <c:ext xmlns:c16="http://schemas.microsoft.com/office/drawing/2014/chart" uri="{C3380CC4-5D6E-409C-BE32-E72D297353CC}">
              <c16:uniqueId val="{00000000-EB9B-4C2E-A829-2C114407DE9C}"/>
            </c:ext>
          </c:extLst>
        </c:ser>
        <c:dLbls>
          <c:showLegendKey val="0"/>
          <c:showVal val="0"/>
          <c:showCatName val="0"/>
          <c:showSerName val="0"/>
          <c:showPercent val="0"/>
          <c:showBubbleSize val="0"/>
        </c:dLbls>
        <c:gapWidth val="100"/>
        <c:axId val="384366127"/>
        <c:axId val="384382927"/>
      </c:barChart>
      <c:catAx>
        <c:axId val="384366127"/>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Response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4382927"/>
        <c:crosses val="autoZero"/>
        <c:auto val="1"/>
        <c:lblAlgn val="ctr"/>
        <c:lblOffset val="100"/>
        <c:noMultiLvlLbl val="0"/>
      </c:catAx>
      <c:valAx>
        <c:axId val="384382927"/>
        <c:scaling>
          <c:orientation val="minMax"/>
          <c:min val="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Number</a:t>
                </a:r>
                <a:r>
                  <a:rPr lang="en-US" baseline="0">
                    <a:solidFill>
                      <a:sysClr val="windowText" lastClr="000000"/>
                    </a:solidFill>
                  </a:rPr>
                  <a:t> of Responses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436612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Patient Survey Data.xlsx]How long have patients attended!How long have patients attended?</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kern="1200" baseline="0">
                <a:solidFill>
                  <a:srgbClr val="0E2841"/>
                </a:solidFill>
              </a:rPr>
              <a:t>How long have patients received services here?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'How long have patients attended'!$B$3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'How long have patients attended'!$A$4:$A$8</c:f>
              <c:strCache>
                <c:ptCount val="4"/>
                <c:pt idx="0">
                  <c:v>0-3 months</c:v>
                </c:pt>
                <c:pt idx="1">
                  <c:v>3-6 months</c:v>
                </c:pt>
                <c:pt idx="2">
                  <c:v>6-9 months</c:v>
                </c:pt>
                <c:pt idx="3">
                  <c:v>1+  years</c:v>
                </c:pt>
              </c:strCache>
            </c:strRef>
          </c:cat>
          <c:val>
            <c:numRef>
              <c:f>'How long have patients attended'!$B$4:$B$8</c:f>
              <c:numCache>
                <c:formatCode>General</c:formatCode>
                <c:ptCount val="4"/>
                <c:pt idx="0">
                  <c:v>5</c:v>
                </c:pt>
                <c:pt idx="1">
                  <c:v>1</c:v>
                </c:pt>
                <c:pt idx="2">
                  <c:v>4</c:v>
                </c:pt>
                <c:pt idx="3">
                  <c:v>10</c:v>
                </c:pt>
              </c:numCache>
            </c:numRef>
          </c:val>
          <c:extLst>
            <c:ext xmlns:c16="http://schemas.microsoft.com/office/drawing/2014/chart" uri="{C3380CC4-5D6E-409C-BE32-E72D297353CC}">
              <c16:uniqueId val="{00000000-1481-43F0-AE5F-3A3C69E1926D}"/>
            </c:ext>
          </c:extLst>
        </c:ser>
        <c:dLbls>
          <c:showLegendKey val="0"/>
          <c:showVal val="0"/>
          <c:showCatName val="0"/>
          <c:showSerName val="0"/>
          <c:showPercent val="0"/>
          <c:showBubbleSize val="0"/>
        </c:dLbls>
        <c:gapWidth val="219"/>
        <c:overlap val="-27"/>
        <c:axId val="126799775"/>
        <c:axId val="126792095"/>
      </c:barChart>
      <c:catAx>
        <c:axId val="126799775"/>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sz="900" b="1">
                    <a:solidFill>
                      <a:sysClr val="windowText" lastClr="000000"/>
                    </a:solidFill>
                  </a:rPr>
                  <a:t>Duration Time</a:t>
                </a:r>
              </a:p>
            </c:rich>
          </c:tx>
          <c:layout>
            <c:manualLayout>
              <c:xMode val="edge"/>
              <c:yMode val="edge"/>
              <c:x val="0.4402141294838145"/>
              <c:y val="0.87583333333333335"/>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792095"/>
        <c:crosses val="autoZero"/>
        <c:auto val="1"/>
        <c:lblAlgn val="ctr"/>
        <c:lblOffset val="100"/>
        <c:noMultiLvlLbl val="0"/>
      </c:catAx>
      <c:valAx>
        <c:axId val="126792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sz="900" b="1">
                    <a:solidFill>
                      <a:sysClr val="windowText" lastClr="000000"/>
                    </a:solidFill>
                  </a:rPr>
                  <a:t>Number of Patients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9775"/>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Patient Survey Data.xlsx]Adequately answer questions!Adequately answer questions</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Were patient's</a:t>
            </a:r>
            <a:r>
              <a:rPr lang="en-US" baseline="0">
                <a:solidFill>
                  <a:sysClr val="windowText" lastClr="000000"/>
                </a:solidFill>
              </a:rPr>
              <a:t> questions adequately answered?</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'Adequately answer questions'!$B$3</c:f>
              <c:strCache>
                <c:ptCount val="1"/>
                <c:pt idx="0">
                  <c:v>Total</c:v>
                </c:pt>
              </c:strCache>
            </c:strRef>
          </c:tx>
          <c:spPr>
            <a:solidFill>
              <a:schemeClr val="accent1"/>
            </a:solidFill>
            <a:ln>
              <a:noFill/>
            </a:ln>
            <a:effectLst/>
          </c:spPr>
          <c:invertIfNegative val="0"/>
          <c:cat>
            <c:strRef>
              <c:f>'Adequately answer questions'!$A$4:$A$6</c:f>
              <c:strCache>
                <c:ptCount val="2"/>
                <c:pt idx="0">
                  <c:v>No</c:v>
                </c:pt>
                <c:pt idx="1">
                  <c:v>Yes</c:v>
                </c:pt>
              </c:strCache>
            </c:strRef>
          </c:cat>
          <c:val>
            <c:numRef>
              <c:f>'Adequately answer questions'!$B$4:$B$6</c:f>
              <c:numCache>
                <c:formatCode>General</c:formatCode>
                <c:ptCount val="2"/>
                <c:pt idx="0">
                  <c:v>8</c:v>
                </c:pt>
                <c:pt idx="1">
                  <c:v>12</c:v>
                </c:pt>
              </c:numCache>
            </c:numRef>
          </c:val>
          <c:extLst>
            <c:ext xmlns:c16="http://schemas.microsoft.com/office/drawing/2014/chart" uri="{C3380CC4-5D6E-409C-BE32-E72D297353CC}">
              <c16:uniqueId val="{00000000-6382-4B62-81CF-3F05F4175214}"/>
            </c:ext>
          </c:extLst>
        </c:ser>
        <c:dLbls>
          <c:showLegendKey val="0"/>
          <c:showVal val="0"/>
          <c:showCatName val="0"/>
          <c:showSerName val="0"/>
          <c:showPercent val="0"/>
          <c:showBubbleSize val="0"/>
        </c:dLbls>
        <c:gapWidth val="182"/>
        <c:axId val="384341167"/>
        <c:axId val="384337327"/>
      </c:barChart>
      <c:catAx>
        <c:axId val="38434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4337327"/>
        <c:crosses val="autoZero"/>
        <c:auto val="1"/>
        <c:lblAlgn val="ctr"/>
        <c:lblOffset val="100"/>
        <c:noMultiLvlLbl val="0"/>
      </c:catAx>
      <c:valAx>
        <c:axId val="384337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43411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15876</xdr:colOff>
      <xdr:row>0</xdr:row>
      <xdr:rowOff>0</xdr:rowOff>
    </xdr:from>
    <xdr:to>
      <xdr:col>3</xdr:col>
      <xdr:colOff>184151</xdr:colOff>
      <xdr:row>14</xdr:row>
      <xdr:rowOff>127000</xdr:rowOff>
    </xdr:to>
    <mc:AlternateContent xmlns:mc="http://schemas.openxmlformats.org/markup-compatibility/2006" xmlns:a14="http://schemas.microsoft.com/office/drawing/2010/main">
      <mc:Choice Requires="a14">
        <xdr:graphicFrame macro="">
          <xdr:nvGraphicFramePr>
            <xdr:cNvPr id="7" name="Department ">
              <a:extLst>
                <a:ext uri="{FF2B5EF4-FFF2-40B4-BE49-F238E27FC236}">
                  <a16:creationId xmlns:a16="http://schemas.microsoft.com/office/drawing/2014/main" id="{708C7512-7A26-4F02-9FFB-D536FD1A0AD7}"/>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mlns="">
        <xdr:sp macro="" textlink="">
          <xdr:nvSpPr>
            <xdr:cNvPr id="0" name=""/>
            <xdr:cNvSpPr>
              <a:spLocks noTextEdit="1"/>
            </xdr:cNvSpPr>
          </xdr:nvSpPr>
          <xdr:spPr>
            <a:xfrm>
              <a:off x="412750" y="0"/>
              <a:ext cx="1600200" cy="2441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16</xdr:row>
      <xdr:rowOff>6352</xdr:rowOff>
    </xdr:from>
    <xdr:to>
      <xdr:col>3</xdr:col>
      <xdr:colOff>198437</xdr:colOff>
      <xdr:row>24</xdr:row>
      <xdr:rowOff>95252</xdr:rowOff>
    </xdr:to>
    <mc:AlternateContent xmlns:mc="http://schemas.openxmlformats.org/markup-compatibility/2006" xmlns:a14="http://schemas.microsoft.com/office/drawing/2010/main">
      <mc:Choice Requires="a14">
        <xdr:graphicFrame macro="">
          <xdr:nvGraphicFramePr>
            <xdr:cNvPr id="11" name="Duration of Services">
              <a:extLst>
                <a:ext uri="{FF2B5EF4-FFF2-40B4-BE49-F238E27FC236}">
                  <a16:creationId xmlns:a16="http://schemas.microsoft.com/office/drawing/2014/main" id="{47BDDBDE-C04D-4007-A975-254D4B38CAD5}"/>
                </a:ext>
              </a:extLst>
            </xdr:cNvPr>
            <xdr:cNvGraphicFramePr/>
          </xdr:nvGraphicFramePr>
          <xdr:xfrm>
            <a:off x="0" y="0"/>
            <a:ext cx="0" cy="0"/>
          </xdr:xfrm>
          <a:graphic>
            <a:graphicData uri="http://schemas.microsoft.com/office/drawing/2010/slicer">
              <sle:slicer xmlns:sle="http://schemas.microsoft.com/office/drawing/2010/slicer" name="Duration of Services"/>
            </a:graphicData>
          </a:graphic>
        </xdr:graphicFrame>
      </mc:Choice>
      <mc:Fallback xmlns="">
        <xdr:sp macro="" textlink="">
          <xdr:nvSpPr>
            <xdr:cNvPr id="0" name=""/>
            <xdr:cNvSpPr>
              <a:spLocks noTextEdit="1"/>
            </xdr:cNvSpPr>
          </xdr:nvSpPr>
          <xdr:spPr>
            <a:xfrm>
              <a:off x="0" y="2881824"/>
              <a:ext cx="2031550" cy="1526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336550</xdr:colOff>
      <xdr:row>0</xdr:row>
      <xdr:rowOff>0</xdr:rowOff>
    </xdr:from>
    <xdr:to>
      <xdr:col>10</xdr:col>
      <xdr:colOff>184150</xdr:colOff>
      <xdr:row>12</xdr:row>
      <xdr:rowOff>3048</xdr:rowOff>
    </xdr:to>
    <xdr:graphicFrame macro="">
      <xdr:nvGraphicFramePr>
        <xdr:cNvPr id="9" name="Chart 3">
          <a:extLst>
            <a:ext uri="{FF2B5EF4-FFF2-40B4-BE49-F238E27FC236}">
              <a16:creationId xmlns:a16="http://schemas.microsoft.com/office/drawing/2014/main" id="{8F16305C-B389-D619-07FD-EA71A0B85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333376</xdr:colOff>
      <xdr:row>11</xdr:row>
      <xdr:rowOff>180973</xdr:rowOff>
    </xdr:from>
    <xdr:to>
      <xdr:col>10</xdr:col>
      <xdr:colOff>180976</xdr:colOff>
      <xdr:row>25</xdr:row>
      <xdr:rowOff>103187</xdr:rowOff>
    </xdr:to>
    <xdr:graphicFrame macro="">
      <xdr:nvGraphicFramePr>
        <xdr:cNvPr id="10" name="Chart 1">
          <a:extLst>
            <a:ext uri="{FF2B5EF4-FFF2-40B4-BE49-F238E27FC236}">
              <a16:creationId xmlns:a16="http://schemas.microsoft.com/office/drawing/2014/main" id="{8D7BFD5D-05BF-F842-8E25-96BDE947B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174475</xdr:colOff>
      <xdr:row>12</xdr:row>
      <xdr:rowOff>1258</xdr:rowOff>
    </xdr:from>
    <xdr:to>
      <xdr:col>17</xdr:col>
      <xdr:colOff>7788</xdr:colOff>
      <xdr:row>25</xdr:row>
      <xdr:rowOff>103187</xdr:rowOff>
    </xdr:to>
    <xdr:graphicFrame macro="">
      <xdr:nvGraphicFramePr>
        <xdr:cNvPr id="16" name="Chart 1">
          <a:extLst>
            <a:ext uri="{FF2B5EF4-FFF2-40B4-BE49-F238E27FC236}">
              <a16:creationId xmlns:a16="http://schemas.microsoft.com/office/drawing/2014/main" id="{8594FAF5-CA96-11D4-4D74-DC067375C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17463</xdr:colOff>
      <xdr:row>0</xdr:row>
      <xdr:rowOff>0</xdr:rowOff>
    </xdr:from>
    <xdr:to>
      <xdr:col>23</xdr:col>
      <xdr:colOff>476250</xdr:colOff>
      <xdr:row>12</xdr:row>
      <xdr:rowOff>3048</xdr:rowOff>
    </xdr:to>
    <xdr:graphicFrame macro="">
      <xdr:nvGraphicFramePr>
        <xdr:cNvPr id="17" name="Chart 1">
          <a:extLst>
            <a:ext uri="{FF2B5EF4-FFF2-40B4-BE49-F238E27FC236}">
              <a16:creationId xmlns:a16="http://schemas.microsoft.com/office/drawing/2014/main" id="{19257672-0021-528B-F8A1-B99875DED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28576</xdr:colOff>
      <xdr:row>12</xdr:row>
      <xdr:rowOff>1257</xdr:rowOff>
    </xdr:from>
    <xdr:to>
      <xdr:col>23</xdr:col>
      <xdr:colOff>476251</xdr:colOff>
      <xdr:row>25</xdr:row>
      <xdr:rowOff>103187</xdr:rowOff>
    </xdr:to>
    <xdr:graphicFrame macro="">
      <xdr:nvGraphicFramePr>
        <xdr:cNvPr id="18" name="Chart 2">
          <a:extLst>
            <a:ext uri="{FF2B5EF4-FFF2-40B4-BE49-F238E27FC236}">
              <a16:creationId xmlns:a16="http://schemas.microsoft.com/office/drawing/2014/main" id="{837C3D13-0803-FE95-4FCC-DB74658B8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179387</xdr:colOff>
      <xdr:row>0</xdr:row>
      <xdr:rowOff>0</xdr:rowOff>
    </xdr:from>
    <xdr:to>
      <xdr:col>17</xdr:col>
      <xdr:colOff>26987</xdr:colOff>
      <xdr:row>12</xdr:row>
      <xdr:rowOff>3048</xdr:rowOff>
    </xdr:to>
    <xdr:graphicFrame macro="">
      <xdr:nvGraphicFramePr>
        <xdr:cNvPr id="19" name="Chart 1">
          <a:extLst>
            <a:ext uri="{FF2B5EF4-FFF2-40B4-BE49-F238E27FC236}">
              <a16:creationId xmlns:a16="http://schemas.microsoft.com/office/drawing/2014/main" id="{97A76F69-69E6-465F-806B-7AD5402BB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1606550</xdr:colOff>
      <xdr:row>1</xdr:row>
      <xdr:rowOff>136525</xdr:rowOff>
    </xdr:from>
    <xdr:to>
      <xdr:col>0</xdr:col>
      <xdr:colOff>6178550</xdr:colOff>
      <xdr:row>16</xdr:row>
      <xdr:rowOff>117475</xdr:rowOff>
    </xdr:to>
    <xdr:graphicFrame macro="">
      <xdr:nvGraphicFramePr>
        <xdr:cNvPr id="2" name="Chart 1">
          <a:extLst>
            <a:ext uri="{FF2B5EF4-FFF2-40B4-BE49-F238E27FC236}">
              <a16:creationId xmlns:a16="http://schemas.microsoft.com/office/drawing/2014/main" id="{59675C4A-A195-A888-B64F-2CA9961DB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31.547533912038" createdVersion="8" refreshedVersion="8" minRefreshableVersion="3" recordCount="20" xr:uid="{A2D1A91A-C568-4C70-9592-79D384CDFB56}">
  <cacheSource type="worksheet">
    <worksheetSource ref="A1:L21" sheet="Patient Data"/>
  </cacheSource>
  <cacheFields count="12">
    <cacheField name="Patient" numFmtId="0">
      <sharedItems containsSemiMixedTypes="0" containsString="0" containsNumber="1" containsInteger="1" minValue="1" maxValue="20" count="20">
        <n v="1"/>
        <n v="2"/>
        <n v="3"/>
        <n v="4"/>
        <n v="5"/>
        <n v="6"/>
        <n v="7"/>
        <n v="8"/>
        <n v="9"/>
        <n v="10"/>
        <n v="11"/>
        <n v="12"/>
        <n v="13"/>
        <n v="14"/>
        <n v="15"/>
        <n v="16"/>
        <n v="17"/>
        <n v="18"/>
        <n v="19"/>
        <n v="20"/>
      </sharedItems>
    </cacheField>
    <cacheField name="Department (PHC, Pharm, Front Desk, Kid's Care, Immun, WIC, Women's Care, Angelina Co Connects, Other)" numFmtId="0">
      <sharedItems count="8">
        <s v="Kid's Care"/>
        <s v="Immun"/>
        <s v="WIC"/>
        <s v="PHC"/>
        <s v="Front Desk"/>
        <s v="Women's Care"/>
        <s v="Other"/>
        <s v="Angelina Co Connects"/>
      </sharedItems>
    </cacheField>
    <cacheField name="Duration of Services" numFmtId="0">
      <sharedItems count="21">
        <s v="1+  years"/>
        <s v="6-9 months"/>
        <s v="0-3 months"/>
        <s v="3-6 months"/>
        <s v="9-12 months" u="1"/>
        <s v="1  year" u="1"/>
        <s v="3 years" u="1"/>
        <s v="7 months" u="1"/>
        <s v="1 year" u="1"/>
        <s v="2 years" u="1"/>
        <s v="6 months" u="1"/>
        <s v="1 week" u="1"/>
        <s v="4 years" u="1"/>
        <s v="5 years" u="1"/>
        <s v="2 weeks" u="1"/>
        <s v="3 months" u="1"/>
        <s v="6 years" u="1"/>
        <s v="8 months" u="1"/>
        <s v="1 month" u="1"/>
        <s v="1.5 years" u="1"/>
        <s v="10 years" u="1"/>
      </sharedItems>
    </cacheField>
    <cacheField name="How did you hear about us?" numFmtId="0">
      <sharedItems count="4">
        <s v="Web page"/>
        <s v="Other"/>
        <s v="Word of mouth"/>
        <s v="Physician referral"/>
      </sharedItems>
    </cacheField>
    <cacheField name="Convenience of Setting Appointment" numFmtId="0">
      <sharedItems count="2">
        <s v="Yes"/>
        <s v="No"/>
      </sharedItems>
    </cacheField>
    <cacheField name="Is the staff courteous and helpful?" numFmtId="0">
      <sharedItems/>
    </cacheField>
    <cacheField name="Adequately answered questions?" numFmtId="0">
      <sharedItems count="2">
        <s v="Yes"/>
        <s v="No"/>
      </sharedItems>
    </cacheField>
    <cacheField name="Satisfaction with the quality of services" numFmtId="0">
      <sharedItems/>
    </cacheField>
    <cacheField name="Overall Experience Rating (1-5)" numFmtId="0">
      <sharedItems containsSemiMixedTypes="0" containsString="0" containsNumber="1" containsInteger="1" minValue="1" maxValue="5"/>
    </cacheField>
    <cacheField name="Please tell us what we could do to make your experience better." numFmtId="0">
      <sharedItems/>
    </cacheField>
    <cacheField name="If there was one thing you would change about your experience with ACCHD, what would it be?" numFmtId="0">
      <sharedItems/>
    </cacheField>
    <cacheField name="Percentage" numFmtId="0">
      <sharedItems containsSemiMixedTypes="0" containsString="0" containsNumber="1" minValue="0" maxValue="1"/>
    </cacheField>
  </cacheFields>
  <extLst>
    <ext xmlns:x14="http://schemas.microsoft.com/office/spreadsheetml/2009/9/main" uri="{725AE2AE-9491-48be-B2B4-4EB974FC3084}">
      <x14:pivotCacheDefinition pivotCacheId="36736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s v="Yes"/>
    <x v="0"/>
    <s v="Yes"/>
    <n v="4"/>
    <s v="skfnsdf"/>
    <s v="sdkfnsdkflnsd"/>
    <n v="0.95"/>
  </r>
  <r>
    <x v="1"/>
    <x v="1"/>
    <x v="0"/>
    <x v="1"/>
    <x v="0"/>
    <s v="Yes"/>
    <x v="1"/>
    <s v="Yes"/>
    <n v="3"/>
    <s v="sdnfklsd"/>
    <s v="skdflsdn"/>
    <n v="0.7"/>
  </r>
  <r>
    <x v="2"/>
    <x v="2"/>
    <x v="1"/>
    <x v="2"/>
    <x v="0"/>
    <s v="Yes"/>
    <x v="0"/>
    <s v="No"/>
    <n v="4"/>
    <s v="afkjsndfs"/>
    <s v="sdklfnsdknf"/>
    <n v="0.75"/>
  </r>
  <r>
    <x v="3"/>
    <x v="0"/>
    <x v="0"/>
    <x v="2"/>
    <x v="0"/>
    <s v="Yes"/>
    <x v="0"/>
    <s v="Yes"/>
    <n v="5"/>
    <s v="afkjsndfs"/>
    <s v="sdklfnsdknf"/>
    <n v="1"/>
  </r>
  <r>
    <x v="4"/>
    <x v="3"/>
    <x v="0"/>
    <x v="1"/>
    <x v="1"/>
    <s v="Yes"/>
    <x v="1"/>
    <s v="Yes"/>
    <n v="4"/>
    <s v="afkjsndfs"/>
    <s v="sdklfnsdknf"/>
    <n v="0.55000000000000004"/>
  </r>
  <r>
    <x v="5"/>
    <x v="4"/>
    <x v="2"/>
    <x v="0"/>
    <x v="0"/>
    <s v="Yes"/>
    <x v="0"/>
    <s v="Yes"/>
    <n v="5"/>
    <s v="afkjsndfs"/>
    <s v="sdklfnsdknf"/>
    <n v="1"/>
  </r>
  <r>
    <x v="6"/>
    <x v="2"/>
    <x v="2"/>
    <x v="3"/>
    <x v="0"/>
    <s v="No"/>
    <x v="1"/>
    <s v="No"/>
    <n v="2"/>
    <s v="afkjsndfs"/>
    <s v="sdklfnsdknf"/>
    <n v="0.25"/>
  </r>
  <r>
    <x v="7"/>
    <x v="1"/>
    <x v="2"/>
    <x v="0"/>
    <x v="0"/>
    <s v="No"/>
    <x v="1"/>
    <s v="No"/>
    <n v="1"/>
    <s v="afkjsndfs"/>
    <s v="sdklfnsdknf"/>
    <n v="0.2"/>
  </r>
  <r>
    <x v="8"/>
    <x v="0"/>
    <x v="0"/>
    <x v="1"/>
    <x v="1"/>
    <s v="Yes"/>
    <x v="0"/>
    <s v="Yes"/>
    <n v="5"/>
    <s v="afkjsndfs"/>
    <s v="sdklfnsdknf"/>
    <n v="0.8"/>
  </r>
  <r>
    <x v="9"/>
    <x v="5"/>
    <x v="0"/>
    <x v="0"/>
    <x v="1"/>
    <s v="Yes"/>
    <x v="0"/>
    <s v="Yes"/>
    <n v="4"/>
    <s v="afkjsndfs"/>
    <s v="sdklfnsdknf"/>
    <n v="0.75"/>
  </r>
  <r>
    <x v="10"/>
    <x v="6"/>
    <x v="2"/>
    <x v="1"/>
    <x v="0"/>
    <s v="Yes"/>
    <x v="1"/>
    <s v="No"/>
    <n v="3"/>
    <s v="afkjsndfs"/>
    <s v="sdklfnsdknf"/>
    <n v="0.5"/>
  </r>
  <r>
    <x v="11"/>
    <x v="3"/>
    <x v="0"/>
    <x v="3"/>
    <x v="1"/>
    <s v="No"/>
    <x v="1"/>
    <s v="No"/>
    <n v="2"/>
    <s v="afkjsndfs"/>
    <s v="sdklfnsdknf"/>
    <n v="0.05"/>
  </r>
  <r>
    <x v="12"/>
    <x v="4"/>
    <x v="3"/>
    <x v="0"/>
    <x v="0"/>
    <s v="Yes"/>
    <x v="0"/>
    <s v="Yes"/>
    <n v="5"/>
    <s v="afkjsndfs"/>
    <s v="sdklfnsdknf"/>
    <n v="1"/>
  </r>
  <r>
    <x v="13"/>
    <x v="2"/>
    <x v="1"/>
    <x v="1"/>
    <x v="1"/>
    <s v="Yes"/>
    <x v="0"/>
    <s v="Yes"/>
    <n v="4"/>
    <s v="afkjsndfs"/>
    <s v="sdklfnsdknf"/>
    <n v="0.75"/>
  </r>
  <r>
    <x v="14"/>
    <x v="7"/>
    <x v="0"/>
    <x v="2"/>
    <x v="1"/>
    <s v="No"/>
    <x v="0"/>
    <s v="No"/>
    <n v="3"/>
    <s v="afkjsndfs"/>
    <s v="sdklfnsdknf"/>
    <n v="0.3"/>
  </r>
  <r>
    <x v="15"/>
    <x v="0"/>
    <x v="1"/>
    <x v="2"/>
    <x v="1"/>
    <s v="Yes"/>
    <x v="0"/>
    <s v="Yes"/>
    <n v="5"/>
    <s v="afkjsndfs"/>
    <s v="sdklfnsdknf"/>
    <n v="0.8"/>
  </r>
  <r>
    <x v="16"/>
    <x v="3"/>
    <x v="0"/>
    <x v="1"/>
    <x v="0"/>
    <s v="Yes"/>
    <x v="0"/>
    <s v="Yes"/>
    <n v="4"/>
    <s v="afkjsndfs"/>
    <s v="sdklfnsdknf"/>
    <n v="0.95"/>
  </r>
  <r>
    <x v="17"/>
    <x v="6"/>
    <x v="2"/>
    <x v="1"/>
    <x v="1"/>
    <s v="No"/>
    <x v="1"/>
    <s v="No"/>
    <n v="1"/>
    <s v="afkjsndfs"/>
    <s v="sdklfnsdknf"/>
    <n v="0"/>
  </r>
  <r>
    <x v="18"/>
    <x v="5"/>
    <x v="1"/>
    <x v="0"/>
    <x v="0"/>
    <s v="Yes"/>
    <x v="0"/>
    <s v="Yes"/>
    <n v="5"/>
    <s v="afkjsndfs"/>
    <s v="sdklfnsdknf"/>
    <n v="1"/>
  </r>
  <r>
    <x v="19"/>
    <x v="1"/>
    <x v="0"/>
    <x v="3"/>
    <x v="0"/>
    <s v="No"/>
    <x v="1"/>
    <s v="No"/>
    <n v="2"/>
    <s v="afkjsndfs"/>
    <s v="sdklfnsdknf"/>
    <n v="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59F91E-25C7-47CF-9526-F1B6255102B8}" name="Average Percentage Score of Survey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B12" firstHeaderRow="1" firstDataRow="1" firstDataCol="1" rowPageCount="1" colPageCount="1"/>
  <pivotFields count="12">
    <pivotField axis="axisPage" multipleItemSelectionAllowed="1" showAll="0">
      <items count="21">
        <item x="0"/>
        <item x="1"/>
        <item x="2"/>
        <item x="3"/>
        <item x="4"/>
        <item x="5"/>
        <item x="6"/>
        <item x="7"/>
        <item x="8"/>
        <item x="9"/>
        <item x="10"/>
        <item x="11"/>
        <item x="12"/>
        <item x="13"/>
        <item x="14"/>
        <item x="15"/>
        <item x="16"/>
        <item x="17"/>
        <item x="18"/>
        <item x="19"/>
        <item t="default"/>
      </items>
    </pivotField>
    <pivotField axis="axisRow" showAll="0">
      <items count="9">
        <item x="7"/>
        <item x="4"/>
        <item x="1"/>
        <item x="0"/>
        <item x="6"/>
        <item x="3"/>
        <item x="2"/>
        <item x="5"/>
        <item t="default"/>
      </items>
    </pivotField>
    <pivotField showAll="0">
      <items count="22">
        <item x="2"/>
        <item h="1" m="1" x="5"/>
        <item h="1" m="1" x="18"/>
        <item h="1" m="1" x="11"/>
        <item h="1" m="1" x="8"/>
        <item h="1" m="1" x="19"/>
        <item x="0"/>
        <item h="1" m="1" x="20"/>
        <item h="1" m="1" x="14"/>
        <item h="1" m="1" x="9"/>
        <item h="1" m="1" x="15"/>
        <item h="1" m="1" x="6"/>
        <item x="3"/>
        <item h="1" m="1" x="12"/>
        <item h="1" m="1" x="13"/>
        <item h="1" m="1" x="10"/>
        <item h="1" m="1" x="16"/>
        <item x="1"/>
        <item h="1" m="1" x="7"/>
        <item h="1" m="1" x="17"/>
        <item h="1" m="1" x="4"/>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9">
    <i>
      <x/>
    </i>
    <i>
      <x v="1"/>
    </i>
    <i>
      <x v="2"/>
    </i>
    <i>
      <x v="3"/>
    </i>
    <i>
      <x v="4"/>
    </i>
    <i>
      <x v="5"/>
    </i>
    <i>
      <x v="6"/>
    </i>
    <i>
      <x v="7"/>
    </i>
    <i t="grand">
      <x/>
    </i>
  </rowItems>
  <colItems count="1">
    <i/>
  </colItems>
  <pageFields count="1">
    <pageField fld="0" hier="-1"/>
  </pageFields>
  <dataFields count="1">
    <dataField name="Average of Percentage" fld="11" subtotal="average" baseField="2" baseItem="0" numFmtId="2"/>
  </dataFields>
  <formats count="1">
    <format dxfId="0">
      <pivotArea outline="0" collapsedLevelsAreSubtotals="1" fieldPosition="0"/>
    </format>
  </formats>
  <chartFormats count="3">
    <chartFormat chart="54"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462DB2-F2AD-4A35-9367-A38F049EF2C0}" name="How long have patients attend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2">
    <pivotField dataField="1" showAll="0"/>
    <pivotField showAll="0">
      <items count="9">
        <item x="7"/>
        <item x="4"/>
        <item x="1"/>
        <item x="0"/>
        <item x="6"/>
        <item x="3"/>
        <item x="2"/>
        <item x="5"/>
        <item t="default"/>
      </items>
    </pivotField>
    <pivotField axis="axisRow" showAll="0">
      <items count="22">
        <item x="2"/>
        <item h="1" m="1" x="5"/>
        <item h="1" m="1" x="18"/>
        <item h="1" m="1" x="11"/>
        <item h="1" m="1" x="8"/>
        <item h="1" m="1" x="19"/>
        <item h="1" m="1" x="20"/>
        <item h="1" m="1" x="14"/>
        <item h="1" m="1" x="9"/>
        <item h="1" m="1" x="15"/>
        <item h="1" m="1" x="6"/>
        <item h="1" m="1" x="12"/>
        <item h="1" m="1" x="13"/>
        <item h="1" m="1" x="10"/>
        <item h="1" m="1" x="16"/>
        <item h="1" m="1" x="7"/>
        <item h="1" m="1" x="17"/>
        <item x="3"/>
        <item x="1"/>
        <item h="1" m="1" x="4"/>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5">
    <i>
      <x/>
    </i>
    <i>
      <x v="17"/>
    </i>
    <i>
      <x v="18"/>
    </i>
    <i>
      <x v="20"/>
    </i>
    <i t="grand">
      <x/>
    </i>
  </rowItems>
  <colItems count="1">
    <i/>
  </colItems>
  <dataFields count="1">
    <dataField name="Count of Patient" fld="0" subtotal="count" baseField="3" baseItem="0"/>
  </dataFields>
  <chartFormats count="1">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D2DED-6756-4906-969F-C3881DFE72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2">
    <pivotField dataField="1" showAll="0"/>
    <pivotField showAll="0">
      <items count="9">
        <item x="7"/>
        <item x="4"/>
        <item x="1"/>
        <item x="0"/>
        <item x="6"/>
        <item x="3"/>
        <item x="2"/>
        <item x="5"/>
        <item t="default"/>
      </items>
    </pivotField>
    <pivotField showAll="0">
      <items count="22">
        <item x="2"/>
        <item h="1" m="1" x="5"/>
        <item h="1" m="1" x="18"/>
        <item h="1" m="1" x="11"/>
        <item h="1" m="1" x="8"/>
        <item h="1" m="1" x="19"/>
        <item x="0"/>
        <item h="1" m="1" x="20"/>
        <item h="1" m="1" x="14"/>
        <item h="1" m="1" x="9"/>
        <item h="1" m="1" x="15"/>
        <item h="1" m="1" x="6"/>
        <item x="3"/>
        <item h="1" m="1" x="12"/>
        <item h="1" m="1" x="13"/>
        <item h="1" m="1" x="10"/>
        <item h="1" m="1" x="16"/>
        <item x="1"/>
        <item h="1" m="1" x="7"/>
        <item h="1" m="1" x="17"/>
        <item h="1" m="1" x="4"/>
        <item t="default"/>
      </items>
    </pivotField>
    <pivotField axis="axisRow" showAll="0">
      <items count="5">
        <item x="3"/>
        <item x="0"/>
        <item x="2"/>
        <item x="1"/>
        <item t="default"/>
      </items>
    </pivotField>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Patient" fld="0" subtotal="count" baseField="4" baseItem="0"/>
  </dataFields>
  <chartFormats count="5">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3" count="1" selected="0">
            <x v="0"/>
          </reference>
        </references>
      </pivotArea>
    </chartFormat>
    <chartFormat chart="18" format="8">
      <pivotArea type="data" outline="0" fieldPosition="0">
        <references count="2">
          <reference field="4294967294" count="1" selected="0">
            <x v="0"/>
          </reference>
          <reference field="3" count="1" selected="0">
            <x v="1"/>
          </reference>
        </references>
      </pivotArea>
    </chartFormat>
    <chartFormat chart="18" format="9">
      <pivotArea type="data" outline="0" fieldPosition="0">
        <references count="2">
          <reference field="4294967294" count="1" selected="0">
            <x v="0"/>
          </reference>
          <reference field="3" count="1" selected="0">
            <x v="2"/>
          </reference>
        </references>
      </pivotArea>
    </chartFormat>
    <chartFormat chart="18"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8B1B04-4E14-4469-A547-FE1922545658}" name="Satisfaction of Care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2" firstHeaderRow="1" firstDataRow="1" firstDataCol="1"/>
  <pivotFields count="12">
    <pivotField dataField="1" showAll="0"/>
    <pivotField axis="axisRow" showAll="0">
      <items count="9">
        <item x="7"/>
        <item x="4"/>
        <item x="1"/>
        <item x="0"/>
        <item x="6"/>
        <item x="3"/>
        <item x="2"/>
        <item x="5"/>
        <item t="default"/>
      </items>
    </pivotField>
    <pivotField showAll="0">
      <items count="22">
        <item x="2"/>
        <item h="1" m="1" x="5"/>
        <item h="1" m="1" x="18"/>
        <item h="1" m="1" x="11"/>
        <item h="1" m="1" x="8"/>
        <item h="1" m="1" x="19"/>
        <item x="0"/>
        <item h="1" m="1" x="20"/>
        <item h="1" m="1" x="14"/>
        <item h="1" m="1" x="9"/>
        <item h="1" m="1" x="15"/>
        <item h="1" m="1" x="6"/>
        <item x="3"/>
        <item h="1" m="1" x="12"/>
        <item h="1" m="1" x="13"/>
        <item h="1" m="1" x="10"/>
        <item h="1" m="1" x="16"/>
        <item x="1"/>
        <item h="1" m="1" x="7"/>
        <item h="1" m="1" x="17"/>
        <item h="1" m="1" x="4"/>
        <item t="default"/>
      </items>
    </pivotField>
    <pivotField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Count of Patient" fld="0" subtotal="count" baseField="1" baseItem="0"/>
  </dataFields>
  <chartFormats count="1">
    <chartFormat chart="17"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AF818F-495B-4090-A532-2F1EA161A5F1}" name="Appointment Convenie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2">
    <pivotField dataField="1" showAll="0"/>
    <pivotField showAll="0">
      <items count="9">
        <item x="7"/>
        <item x="4"/>
        <item x="1"/>
        <item x="0"/>
        <item x="6"/>
        <item x="3"/>
        <item x="2"/>
        <item x="5"/>
        <item t="default"/>
      </items>
    </pivotField>
    <pivotField showAll="0">
      <items count="22">
        <item x="2"/>
        <item h="1" m="1" x="5"/>
        <item h="1" m="1" x="18"/>
        <item h="1" m="1" x="11"/>
        <item h="1" m="1" x="8"/>
        <item h="1" m="1" x="19"/>
        <item x="0"/>
        <item h="1" m="1" x="20"/>
        <item h="1" m="1" x="14"/>
        <item h="1" m="1" x="9"/>
        <item h="1" m="1" x="15"/>
        <item h="1" m="1" x="6"/>
        <item x="3"/>
        <item h="1" m="1" x="12"/>
        <item h="1" m="1" x="13"/>
        <item h="1" m="1" x="10"/>
        <item h="1" m="1" x="16"/>
        <item x="1"/>
        <item h="1" m="1" x="7"/>
        <item h="1" m="1" x="17"/>
        <item h="1" m="1" x="4"/>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Patient" fld="0" subtotal="count" baseField="7" baseItem="0"/>
  </dataFields>
  <chartFormats count="3">
    <chartFormat chart="10" format="3"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47BB7D-095C-427C-9266-0FB780DF4B1B}" name="Adequately answer ques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2">
    <pivotField dataField="1" showAll="0"/>
    <pivotField showAll="0">
      <items count="9">
        <item x="7"/>
        <item x="4"/>
        <item x="1"/>
        <item x="0"/>
        <item x="6"/>
        <item x="3"/>
        <item x="2"/>
        <item x="5"/>
        <item t="default"/>
      </items>
    </pivotField>
    <pivotField showAll="0">
      <items count="22">
        <item x="2"/>
        <item h="1" m="1" x="5"/>
        <item h="1" m="1" x="18"/>
        <item h="1" m="1" x="11"/>
        <item h="1" m="1" x="8"/>
        <item h="1" m="1" x="19"/>
        <item x="0"/>
        <item h="1" m="1" x="20"/>
        <item h="1" m="1" x="14"/>
        <item h="1" m="1" x="9"/>
        <item h="1" m="1" x="15"/>
        <item h="1" m="1" x="6"/>
        <item x="3"/>
        <item h="1" m="1" x="12"/>
        <item h="1" m="1" x="13"/>
        <item h="1" m="1" x="10"/>
        <item h="1" m="1" x="16"/>
        <item x="1"/>
        <item h="1" m="1" x="7"/>
        <item h="1" m="1" x="17"/>
        <item h="1" m="1" x="4"/>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Count of Patient" fld="0" subtotal="count" baseField="6" baseItem="0"/>
  </dataFields>
  <chartFormats count="2">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of_Services" xr10:uid="{49DD788F-AAE9-4FEE-8AF8-50F91EE1100B}" sourceName="Duration of Services">
  <pivotTables>
    <pivotTable tabId="14" name="How long have patients attended?"/>
    <pivotTable tabId="15" name="Average Percentage Score of Survey "/>
    <pivotTable tabId="31" name="Adequately answer questions"/>
    <pivotTable tabId="30" name="Appointment Convenience"/>
    <pivotTable tabId="18" name="PivotTable4"/>
    <pivotTable tabId="23" name="Satisfaction of Care by Department"/>
  </pivotTables>
  <data>
    <tabular pivotCacheId="36736985">
      <items count="21">
        <i x="2" s="1"/>
        <i x="0" s="1"/>
        <i x="3" s="1"/>
        <i x="1" s="1"/>
        <i x="5" nd="1"/>
        <i x="18" nd="1"/>
        <i x="11" nd="1"/>
        <i x="8" nd="1"/>
        <i x="19" nd="1"/>
        <i x="20" nd="1"/>
        <i x="14" nd="1"/>
        <i x="9" nd="1"/>
        <i x="15" nd="1"/>
        <i x="6" nd="1"/>
        <i x="12" nd="1"/>
        <i x="13" nd="1"/>
        <i x="10" nd="1"/>
        <i x="16" nd="1"/>
        <i x="7" nd="1"/>
        <i x="17"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_PHC__Pharm__Front_Desk__Kid_s_Care__Immun__WIC__Women_s_Care__Angelina_Co_Connects__Other" xr10:uid="{3A04679F-8AE6-4EA9-BEA3-9D3F542A71FC}" sourceName="Department (PHC, Pharm, Front Desk, Kid's Care, Immun, WIC, Women's Care, Angelina Co Connects, Other)">
  <pivotTables>
    <pivotTable tabId="15" name="Average Percentage Score of Survey "/>
    <pivotTable tabId="14" name="How long have patients attended?"/>
    <pivotTable tabId="31" name="Adequately answer questions"/>
    <pivotTable tabId="18" name="PivotTable4"/>
    <pivotTable tabId="23" name="Satisfaction of Care by Department"/>
    <pivotTable tabId="30" name="Appointment Convenience"/>
  </pivotTables>
  <data>
    <tabular pivotCacheId="36736985">
      <items count="8">
        <i x="7" s="1"/>
        <i x="4" s="1"/>
        <i x="1" s="1"/>
        <i x="0" s="1"/>
        <i x="6" s="1"/>
        <i x="3" s="1"/>
        <i x="2" s="1"/>
        <i x="5"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ration of Services" xr10:uid="{7DDCE575-23D5-4CD2-BA8F-6A10201089A0}" cache="Slicer_Duration_of_Services" caption="Duration of Services" rowHeight="251883"/>
  <slicer name="Department " xr10:uid="{56A53D44-F22B-4185-B1D9-C26FD08E116C}" cache="Slicer_Department__PHC__Pharm__Front_Desk__Kid_s_Care__Immun__WIC__Women_s_Care__Angelina_Co_Connects__Other" caption="Department (PHC, Pharm, Front Desk, Kid's Care, Immun, WIC, Women's Care, Angelina Co Connects, Oth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6B3694-B8FD-4716-A16A-4BCC6F1A6230}" name="Table1" displayName="Table1" ref="A1:L21" totalsRowShown="0" headerRowDxfId="17" dataDxfId="15" headerRowBorderDxfId="16" tableBorderDxfId="14" totalsRowBorderDxfId="13">
  <autoFilter ref="A1:L21" xr:uid="{EF6B3694-B8FD-4716-A16A-4BCC6F1A6230}"/>
  <tableColumns count="12">
    <tableColumn id="2" xr3:uid="{57B88D9A-3B4C-4919-9A57-A834F17D33BB}" name="Patient" dataDxfId="12"/>
    <tableColumn id="3" xr3:uid="{43207865-509A-433D-AE2B-68C6B3DD37D6}" name="Department (PHC, Pharm, Front Desk, Kid's Care, Immun, WIC, Women's Care, Angelina Co Connects, Other)" dataDxfId="11"/>
    <tableColumn id="4" xr3:uid="{5CE2B581-853E-4B65-94D2-8DF2BB9FE0EA}" name="Duration of Services" dataDxfId="10"/>
    <tableColumn id="5" xr3:uid="{42C4F149-48A3-4FA9-BAF2-88C2810FAFF0}" name="How did you hear about us?" dataDxfId="9"/>
    <tableColumn id="6" xr3:uid="{99238921-7606-46FA-8124-79F588FDF980}" name="Convenience of Setting Appointment" dataDxfId="8"/>
    <tableColumn id="7" xr3:uid="{804E6E86-9D22-461E-9483-660F6B0EE9EC}" name="Is the staff courteous and helpful?" dataDxfId="7"/>
    <tableColumn id="8" xr3:uid="{0B18823F-A431-4565-B319-C62D1C44EC2D}" name="Adequately answered questions?" dataDxfId="6"/>
    <tableColumn id="9" xr3:uid="{AF08F49E-B810-4D98-8BE8-9C0A16301DF1}" name="Satisfaction with the quality of services" dataDxfId="5"/>
    <tableColumn id="10" xr3:uid="{2051E2A3-B77C-46F6-9A9E-AD5D07654024}" name="Overall Experience Rating (1-5)" dataDxfId="4"/>
    <tableColumn id="11" xr3:uid="{AB078AA9-CF62-433D-9EA2-50F761A221A6}" name="Please tell us what can we do to make your experience better." dataDxfId="3"/>
    <tableColumn id="1" xr3:uid="{58276144-8F22-4934-B7DC-ADFF6A1F9110}" name="If there was one thing you would change about your experience at ACCHD, what would it be?" dataDxfId="2"/>
    <tableColumn id="13" xr3:uid="{E7D8E2C5-6F2E-4843-9FC1-19E91DCD2348}" name="Percentage" dataDxfId="1">
      <calculatedColumnFormula>(IF(E2="Yes",100,0) + IF(F2="Yes",100,0) + IF(G2="Yes",100,0) + IF(H2="Yes",100,0) + CHOOSE(I2,0,25,50,75,100))/500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A0A2-21B0-4CF5-83C6-1F3DFAB14F2A}">
  <dimension ref="A1"/>
  <sheetViews>
    <sheetView showGridLines="0" showRowColHeaders="0" tabSelected="1" showRuler="0" zoomScale="53" zoomScaleNormal="80" workbookViewId="0">
      <selection activeCell="J31" sqref="J31"/>
      <extLst>
        <ext xmlns:xlsdti="http://schemas.microsoft.com/office/spreadsheetml/2023/showDataTypeIcons" uri="{77bfe23e-c014-4d31-8a63-9c772dbf06b6}">
          <xlsdti:showDataTypeIcons visible="0"/>
        </ext>
      </extLst>
    </sheetView>
  </sheetViews>
  <sheetFormatPr defaultRowHeight="14.5" x14ac:dyDescent="0.35"/>
  <sheetData/>
  <sheetProtection selectLockedCells="1"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4E79-2278-4F39-93B5-C47D4771A135}">
  <dimension ref="A1:L21"/>
  <sheetViews>
    <sheetView topLeftCell="B1" workbookViewId="0">
      <selection activeCell="B1" sqref="B1"/>
    </sheetView>
  </sheetViews>
  <sheetFormatPr defaultRowHeight="14.5" x14ac:dyDescent="0.35"/>
  <cols>
    <col min="1" max="1" width="9.1796875" style="3" bestFit="1" customWidth="1"/>
    <col min="2" max="2" width="46.7265625" style="3" customWidth="1"/>
    <col min="3" max="3" width="42.90625" style="3" customWidth="1"/>
    <col min="4" max="4" width="25.453125" style="3" customWidth="1"/>
    <col min="5" max="11" width="46.7265625" style="3" customWidth="1"/>
    <col min="12" max="12" width="14.7265625" style="3" bestFit="1" customWidth="1"/>
    <col min="13" max="16384" width="8.7265625" style="3"/>
  </cols>
  <sheetData>
    <row r="1" spans="1:12" ht="43.5" x14ac:dyDescent="0.35">
      <c r="A1" s="5" t="s">
        <v>6</v>
      </c>
      <c r="B1" s="6" t="s">
        <v>22</v>
      </c>
      <c r="C1" s="6" t="s">
        <v>21</v>
      </c>
      <c r="D1" s="6" t="s">
        <v>0</v>
      </c>
      <c r="E1" s="6" t="s">
        <v>31</v>
      </c>
      <c r="F1" s="6" t="s">
        <v>23</v>
      </c>
      <c r="G1" s="6" t="s">
        <v>30</v>
      </c>
      <c r="H1" s="6" t="s">
        <v>24</v>
      </c>
      <c r="I1" s="6" t="s">
        <v>25</v>
      </c>
      <c r="J1" s="11" t="s">
        <v>32</v>
      </c>
      <c r="K1" s="11" t="s">
        <v>33</v>
      </c>
      <c r="L1" s="7" t="s">
        <v>11</v>
      </c>
    </row>
    <row r="2" spans="1:12" x14ac:dyDescent="0.35">
      <c r="A2" s="3">
        <v>1</v>
      </c>
      <c r="B2" s="3" t="s">
        <v>7</v>
      </c>
      <c r="C2" s="3" t="s">
        <v>28</v>
      </c>
      <c r="D2" s="3" t="s">
        <v>2</v>
      </c>
      <c r="E2" s="3" t="s">
        <v>1</v>
      </c>
      <c r="F2" s="3" t="s">
        <v>1</v>
      </c>
      <c r="G2" s="3" t="s">
        <v>1</v>
      </c>
      <c r="H2" s="3" t="s">
        <v>1</v>
      </c>
      <c r="I2" s="3">
        <v>4</v>
      </c>
      <c r="J2" s="4"/>
      <c r="K2" s="4"/>
      <c r="L2" s="4">
        <f>(IF(E2="Yes",100,0) + IF(F2="Yes",100,0) + IF(G2="Yes",100,0) + IF(H2="Yes",100,0) + CHOOSE(I2,0,25,50,75,100))/500</f>
        <v>0.95</v>
      </c>
    </row>
    <row r="3" spans="1:12" x14ac:dyDescent="0.35">
      <c r="A3" s="3">
        <v>2</v>
      </c>
      <c r="B3" s="3" t="s">
        <v>9</v>
      </c>
      <c r="C3" s="3" t="s">
        <v>28</v>
      </c>
      <c r="D3" s="3" t="s">
        <v>14</v>
      </c>
      <c r="E3" s="3" t="s">
        <v>1</v>
      </c>
      <c r="F3" s="3" t="s">
        <v>1</v>
      </c>
      <c r="G3" s="3" t="s">
        <v>8</v>
      </c>
      <c r="H3" s="3" t="s">
        <v>1</v>
      </c>
      <c r="I3" s="3">
        <v>3</v>
      </c>
      <c r="J3" s="4"/>
      <c r="K3" s="4"/>
      <c r="L3" s="4">
        <f>(IF(E3="Yes",100,0) + IF(F3="Yes",100,0) + IF(G3="Yes",100,0) + IF(H3="Yes",100,0) + CHOOSE(I3,0,25,50,75,100))/500</f>
        <v>0.7</v>
      </c>
    </row>
    <row r="4" spans="1:12" x14ac:dyDescent="0.35">
      <c r="A4" s="3">
        <v>3</v>
      </c>
      <c r="B4" s="3" t="s">
        <v>10</v>
      </c>
      <c r="C4" s="3" t="s">
        <v>26</v>
      </c>
      <c r="D4" s="3" t="s">
        <v>19</v>
      </c>
      <c r="E4" s="3" t="s">
        <v>1</v>
      </c>
      <c r="F4" s="3" t="s">
        <v>1</v>
      </c>
      <c r="G4" s="3" t="s">
        <v>1</v>
      </c>
      <c r="H4" s="3" t="s">
        <v>8</v>
      </c>
      <c r="I4" s="3">
        <v>4</v>
      </c>
      <c r="J4" s="4"/>
      <c r="K4" s="4"/>
      <c r="L4" s="4">
        <f>(IF(E4="Yes",100,0) + IF(F4="Yes",100,0) + IF(G4="Yes",100,0) + IF(H4="Yes",100,0) + CHOOSE(I4,0,25,50,75,100))/500</f>
        <v>0.75</v>
      </c>
    </row>
    <row r="5" spans="1:12" x14ac:dyDescent="0.35">
      <c r="A5" s="3">
        <v>4</v>
      </c>
      <c r="B5" s="3" t="s">
        <v>7</v>
      </c>
      <c r="C5" s="3" t="s">
        <v>28</v>
      </c>
      <c r="D5" s="3" t="s">
        <v>19</v>
      </c>
      <c r="E5" s="3" t="s">
        <v>1</v>
      </c>
      <c r="F5" s="3" t="s">
        <v>1</v>
      </c>
      <c r="G5" s="3" t="s">
        <v>1</v>
      </c>
      <c r="H5" s="3" t="s">
        <v>1</v>
      </c>
      <c r="I5" s="3">
        <v>5</v>
      </c>
      <c r="J5" s="4"/>
      <c r="K5" s="4"/>
      <c r="L5" s="4">
        <f t="shared" ref="L5:L21" si="0">(IF(E5="Yes",100,0) + IF(F5="Yes",100,0) + IF(G5="Yes",100,0) + IF(H5="Yes",100,0) + CHOOSE(I5,0,25,50,75,100))/500</f>
        <v>1</v>
      </c>
    </row>
    <row r="6" spans="1:12" x14ac:dyDescent="0.35">
      <c r="A6" s="3">
        <v>5</v>
      </c>
      <c r="B6" s="3" t="s">
        <v>3</v>
      </c>
      <c r="C6" s="3" t="s">
        <v>28</v>
      </c>
      <c r="D6" s="3" t="s">
        <v>14</v>
      </c>
      <c r="E6" s="3" t="s">
        <v>8</v>
      </c>
      <c r="F6" s="3" t="s">
        <v>1</v>
      </c>
      <c r="G6" s="3" t="s">
        <v>8</v>
      </c>
      <c r="H6" s="3" t="s">
        <v>1</v>
      </c>
      <c r="I6" s="3">
        <v>4</v>
      </c>
      <c r="J6" s="4"/>
      <c r="K6" s="4"/>
      <c r="L6" s="4">
        <f t="shared" si="0"/>
        <v>0.55000000000000004</v>
      </c>
    </row>
    <row r="7" spans="1:12" x14ac:dyDescent="0.35">
      <c r="A7" s="3">
        <v>6</v>
      </c>
      <c r="B7" s="3" t="s">
        <v>12</v>
      </c>
      <c r="C7" s="3" t="s">
        <v>27</v>
      </c>
      <c r="D7" s="3" t="s">
        <v>2</v>
      </c>
      <c r="E7" s="3" t="s">
        <v>1</v>
      </c>
      <c r="F7" s="3" t="s">
        <v>1</v>
      </c>
      <c r="G7" s="3" t="s">
        <v>1</v>
      </c>
      <c r="H7" s="3" t="s">
        <v>1</v>
      </c>
      <c r="I7" s="3">
        <v>5</v>
      </c>
      <c r="J7" s="4"/>
      <c r="K7" s="4"/>
      <c r="L7" s="4">
        <f t="shared" si="0"/>
        <v>1</v>
      </c>
    </row>
    <row r="8" spans="1:12" x14ac:dyDescent="0.35">
      <c r="A8" s="3">
        <v>7</v>
      </c>
      <c r="B8" s="3" t="s">
        <v>10</v>
      </c>
      <c r="C8" s="3" t="s">
        <v>27</v>
      </c>
      <c r="D8" s="3" t="s">
        <v>20</v>
      </c>
      <c r="E8" s="3" t="s">
        <v>1</v>
      </c>
      <c r="F8" s="3" t="s">
        <v>8</v>
      </c>
      <c r="G8" s="3" t="s">
        <v>8</v>
      </c>
      <c r="H8" s="3" t="s">
        <v>8</v>
      </c>
      <c r="I8" s="3">
        <v>2</v>
      </c>
      <c r="J8" s="4"/>
      <c r="K8" s="4"/>
      <c r="L8" s="4">
        <f t="shared" si="0"/>
        <v>0.25</v>
      </c>
    </row>
    <row r="9" spans="1:12" x14ac:dyDescent="0.35">
      <c r="A9" s="3">
        <v>8</v>
      </c>
      <c r="B9" s="3" t="s">
        <v>9</v>
      </c>
      <c r="C9" s="3" t="s">
        <v>27</v>
      </c>
      <c r="D9" s="3" t="s">
        <v>2</v>
      </c>
      <c r="E9" s="3" t="s">
        <v>1</v>
      </c>
      <c r="F9" s="3" t="s">
        <v>8</v>
      </c>
      <c r="G9" s="3" t="s">
        <v>8</v>
      </c>
      <c r="H9" s="3" t="s">
        <v>8</v>
      </c>
      <c r="I9" s="3">
        <v>1</v>
      </c>
      <c r="J9" s="4"/>
      <c r="K9" s="4"/>
      <c r="L9" s="4">
        <f t="shared" si="0"/>
        <v>0.2</v>
      </c>
    </row>
    <row r="10" spans="1:12" x14ac:dyDescent="0.35">
      <c r="A10" s="3">
        <v>9</v>
      </c>
      <c r="B10" s="3" t="s">
        <v>7</v>
      </c>
      <c r="C10" s="3" t="s">
        <v>28</v>
      </c>
      <c r="D10" s="3" t="s">
        <v>14</v>
      </c>
      <c r="E10" s="3" t="s">
        <v>8</v>
      </c>
      <c r="F10" s="3" t="s">
        <v>1</v>
      </c>
      <c r="G10" s="3" t="s">
        <v>1</v>
      </c>
      <c r="H10" s="3" t="s">
        <v>1</v>
      </c>
      <c r="I10" s="3">
        <v>5</v>
      </c>
      <c r="J10" s="4"/>
      <c r="K10" s="4"/>
      <c r="L10" s="4">
        <f t="shared" si="0"/>
        <v>0.8</v>
      </c>
    </row>
    <row r="11" spans="1:12" x14ac:dyDescent="0.35">
      <c r="A11" s="3">
        <v>10</v>
      </c>
      <c r="B11" s="3" t="s">
        <v>15</v>
      </c>
      <c r="C11" s="3" t="s">
        <v>28</v>
      </c>
      <c r="D11" s="3" t="s">
        <v>2</v>
      </c>
      <c r="E11" s="3" t="s">
        <v>8</v>
      </c>
      <c r="F11" s="3" t="s">
        <v>1</v>
      </c>
      <c r="G11" s="3" t="s">
        <v>1</v>
      </c>
      <c r="H11" s="3" t="s">
        <v>1</v>
      </c>
      <c r="I11" s="3">
        <v>4</v>
      </c>
      <c r="J11" s="4"/>
      <c r="K11" s="4"/>
      <c r="L11" s="4">
        <f t="shared" si="0"/>
        <v>0.75</v>
      </c>
    </row>
    <row r="12" spans="1:12" x14ac:dyDescent="0.35">
      <c r="A12" s="3">
        <v>11</v>
      </c>
      <c r="B12" s="3" t="s">
        <v>14</v>
      </c>
      <c r="C12" s="3" t="s">
        <v>27</v>
      </c>
      <c r="D12" s="3" t="s">
        <v>14</v>
      </c>
      <c r="E12" s="3" t="s">
        <v>1</v>
      </c>
      <c r="F12" s="3" t="s">
        <v>1</v>
      </c>
      <c r="G12" s="3" t="s">
        <v>8</v>
      </c>
      <c r="H12" s="3" t="s">
        <v>8</v>
      </c>
      <c r="I12" s="3">
        <v>3</v>
      </c>
      <c r="J12" s="4"/>
      <c r="K12" s="4"/>
      <c r="L12" s="4">
        <f t="shared" si="0"/>
        <v>0.5</v>
      </c>
    </row>
    <row r="13" spans="1:12" x14ac:dyDescent="0.35">
      <c r="A13" s="3">
        <v>12</v>
      </c>
      <c r="B13" s="3" t="s">
        <v>3</v>
      </c>
      <c r="C13" s="3" t="s">
        <v>28</v>
      </c>
      <c r="D13" s="3" t="s">
        <v>20</v>
      </c>
      <c r="E13" s="3" t="s">
        <v>8</v>
      </c>
      <c r="F13" s="3" t="s">
        <v>8</v>
      </c>
      <c r="G13" s="3" t="s">
        <v>8</v>
      </c>
      <c r="H13" s="3" t="s">
        <v>8</v>
      </c>
      <c r="I13" s="3">
        <v>2</v>
      </c>
      <c r="J13" s="4"/>
      <c r="K13" s="4"/>
      <c r="L13" s="4">
        <f t="shared" si="0"/>
        <v>0.05</v>
      </c>
    </row>
    <row r="14" spans="1:12" x14ac:dyDescent="0.35">
      <c r="A14" s="3">
        <v>13</v>
      </c>
      <c r="B14" s="3" t="s">
        <v>12</v>
      </c>
      <c r="C14" s="3" t="s">
        <v>29</v>
      </c>
      <c r="D14" s="3" t="s">
        <v>2</v>
      </c>
      <c r="E14" s="3" t="s">
        <v>1</v>
      </c>
      <c r="F14" s="3" t="s">
        <v>1</v>
      </c>
      <c r="G14" s="3" t="s">
        <v>1</v>
      </c>
      <c r="H14" s="3" t="s">
        <v>1</v>
      </c>
      <c r="I14" s="3">
        <v>5</v>
      </c>
      <c r="J14" s="4"/>
      <c r="K14" s="4"/>
      <c r="L14" s="4">
        <f t="shared" si="0"/>
        <v>1</v>
      </c>
    </row>
    <row r="15" spans="1:12" x14ac:dyDescent="0.35">
      <c r="A15" s="3">
        <v>14</v>
      </c>
      <c r="B15" s="3" t="s">
        <v>10</v>
      </c>
      <c r="C15" s="3" t="s">
        <v>26</v>
      </c>
      <c r="D15" s="3" t="s">
        <v>14</v>
      </c>
      <c r="E15" s="3" t="s">
        <v>8</v>
      </c>
      <c r="F15" s="3" t="s">
        <v>1</v>
      </c>
      <c r="G15" s="3" t="s">
        <v>1</v>
      </c>
      <c r="H15" s="3" t="s">
        <v>1</v>
      </c>
      <c r="I15" s="3">
        <v>4</v>
      </c>
      <c r="J15" s="4"/>
      <c r="K15" s="4"/>
      <c r="L15" s="4">
        <f t="shared" si="0"/>
        <v>0.75</v>
      </c>
    </row>
    <row r="16" spans="1:12" x14ac:dyDescent="0.35">
      <c r="A16" s="3">
        <v>15</v>
      </c>
      <c r="B16" s="3" t="s">
        <v>13</v>
      </c>
      <c r="C16" s="3" t="s">
        <v>28</v>
      </c>
      <c r="D16" s="3" t="s">
        <v>19</v>
      </c>
      <c r="E16" s="3" t="s">
        <v>8</v>
      </c>
      <c r="F16" s="3" t="s">
        <v>8</v>
      </c>
      <c r="G16" s="3" t="s">
        <v>1</v>
      </c>
      <c r="H16" s="3" t="s">
        <v>8</v>
      </c>
      <c r="I16" s="3">
        <v>3</v>
      </c>
      <c r="J16" s="4"/>
      <c r="K16" s="4"/>
      <c r="L16" s="4">
        <f t="shared" si="0"/>
        <v>0.3</v>
      </c>
    </row>
    <row r="17" spans="1:12" x14ac:dyDescent="0.35">
      <c r="A17" s="3">
        <v>16</v>
      </c>
      <c r="B17" s="3" t="s">
        <v>7</v>
      </c>
      <c r="C17" s="3" t="s">
        <v>26</v>
      </c>
      <c r="D17" s="3" t="s">
        <v>19</v>
      </c>
      <c r="E17" s="3" t="s">
        <v>8</v>
      </c>
      <c r="F17" s="3" t="s">
        <v>1</v>
      </c>
      <c r="G17" s="3" t="s">
        <v>1</v>
      </c>
      <c r="H17" s="3" t="s">
        <v>1</v>
      </c>
      <c r="I17" s="3">
        <v>5</v>
      </c>
      <c r="J17" s="4"/>
      <c r="K17" s="4"/>
      <c r="L17" s="4">
        <f t="shared" si="0"/>
        <v>0.8</v>
      </c>
    </row>
    <row r="18" spans="1:12" x14ac:dyDescent="0.35">
      <c r="A18" s="3">
        <v>17</v>
      </c>
      <c r="B18" s="3" t="s">
        <v>3</v>
      </c>
      <c r="C18" s="3" t="s">
        <v>28</v>
      </c>
      <c r="D18" s="3" t="s">
        <v>14</v>
      </c>
      <c r="E18" s="3" t="s">
        <v>1</v>
      </c>
      <c r="F18" s="3" t="s">
        <v>1</v>
      </c>
      <c r="G18" s="3" t="s">
        <v>1</v>
      </c>
      <c r="H18" s="3" t="s">
        <v>1</v>
      </c>
      <c r="I18" s="3">
        <v>4</v>
      </c>
      <c r="J18" s="4"/>
      <c r="K18" s="4"/>
      <c r="L18" s="4">
        <f t="shared" si="0"/>
        <v>0.95</v>
      </c>
    </row>
    <row r="19" spans="1:12" x14ac:dyDescent="0.35">
      <c r="A19" s="3">
        <v>18</v>
      </c>
      <c r="B19" s="3" t="s">
        <v>14</v>
      </c>
      <c r="C19" s="3" t="s">
        <v>27</v>
      </c>
      <c r="D19" s="3" t="s">
        <v>14</v>
      </c>
      <c r="E19" s="3" t="s">
        <v>8</v>
      </c>
      <c r="F19" s="3" t="s">
        <v>8</v>
      </c>
      <c r="G19" s="3" t="s">
        <v>8</v>
      </c>
      <c r="H19" s="3" t="s">
        <v>8</v>
      </c>
      <c r="I19" s="3">
        <v>1</v>
      </c>
      <c r="J19" s="4"/>
      <c r="K19" s="4"/>
      <c r="L19" s="4">
        <f t="shared" si="0"/>
        <v>0</v>
      </c>
    </row>
    <row r="20" spans="1:12" x14ac:dyDescent="0.35">
      <c r="A20" s="3">
        <v>19</v>
      </c>
      <c r="B20" s="3" t="s">
        <v>15</v>
      </c>
      <c r="C20" s="3" t="s">
        <v>26</v>
      </c>
      <c r="D20" s="3" t="s">
        <v>2</v>
      </c>
      <c r="E20" s="3" t="s">
        <v>1</v>
      </c>
      <c r="F20" s="3" t="s">
        <v>1</v>
      </c>
      <c r="G20" s="3" t="s">
        <v>1</v>
      </c>
      <c r="H20" s="3" t="s">
        <v>1</v>
      </c>
      <c r="I20" s="3">
        <v>5</v>
      </c>
      <c r="J20" s="4"/>
      <c r="K20" s="4"/>
      <c r="L20" s="4">
        <f t="shared" si="0"/>
        <v>1</v>
      </c>
    </row>
    <row r="21" spans="1:12" x14ac:dyDescent="0.35">
      <c r="A21" s="8">
        <v>20</v>
      </c>
      <c r="B21" s="8" t="s">
        <v>9</v>
      </c>
      <c r="C21" s="8" t="s">
        <v>28</v>
      </c>
      <c r="D21" s="3" t="s">
        <v>20</v>
      </c>
      <c r="E21" s="8" t="s">
        <v>1</v>
      </c>
      <c r="F21" s="8" t="s">
        <v>8</v>
      </c>
      <c r="G21" s="8" t="s">
        <v>8</v>
      </c>
      <c r="H21" s="8" t="s">
        <v>8</v>
      </c>
      <c r="I21" s="8">
        <v>2</v>
      </c>
      <c r="J21" s="9"/>
      <c r="K21" s="9"/>
      <c r="L21" s="9">
        <f t="shared" si="0"/>
        <v>0.25</v>
      </c>
    </row>
  </sheetData>
  <sheetProtection selectLockedCells="1" pivotTables="0"/>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D9533-960B-4196-ADA8-AFB09DB88FC3}">
  <dimension ref="A1:B12"/>
  <sheetViews>
    <sheetView workbookViewId="0">
      <selection activeCell="Q28" sqref="Q28"/>
    </sheetView>
  </sheetViews>
  <sheetFormatPr defaultRowHeight="14.5" x14ac:dyDescent="0.35"/>
  <cols>
    <col min="1" max="1" width="18.7265625" bestFit="1" customWidth="1"/>
    <col min="2" max="2" width="19.26953125" bestFit="1" customWidth="1"/>
  </cols>
  <sheetData>
    <row r="1" spans="1:2" x14ac:dyDescent="0.35">
      <c r="A1" s="1" t="s">
        <v>6</v>
      </c>
      <c r="B1" t="s">
        <v>16</v>
      </c>
    </row>
    <row r="3" spans="1:2" x14ac:dyDescent="0.35">
      <c r="A3" s="1" t="s">
        <v>4</v>
      </c>
      <c r="B3" t="s">
        <v>17</v>
      </c>
    </row>
    <row r="4" spans="1:2" x14ac:dyDescent="0.35">
      <c r="A4" s="2" t="s">
        <v>13</v>
      </c>
      <c r="B4" s="10">
        <v>0.3</v>
      </c>
    </row>
    <row r="5" spans="1:2" x14ac:dyDescent="0.35">
      <c r="A5" s="2" t="s">
        <v>12</v>
      </c>
      <c r="B5" s="10">
        <v>1</v>
      </c>
    </row>
    <row r="6" spans="1:2" x14ac:dyDescent="0.35">
      <c r="A6" s="2" t="s">
        <v>9</v>
      </c>
      <c r="B6" s="10">
        <v>0.3833333333333333</v>
      </c>
    </row>
    <row r="7" spans="1:2" x14ac:dyDescent="0.35">
      <c r="A7" s="2" t="s">
        <v>7</v>
      </c>
      <c r="B7" s="10">
        <v>0.88749999999999996</v>
      </c>
    </row>
    <row r="8" spans="1:2" x14ac:dyDescent="0.35">
      <c r="A8" s="2" t="s">
        <v>14</v>
      </c>
      <c r="B8" s="10">
        <v>0.25</v>
      </c>
    </row>
    <row r="9" spans="1:2" x14ac:dyDescent="0.35">
      <c r="A9" s="2" t="s">
        <v>3</v>
      </c>
      <c r="B9" s="10">
        <v>0.51666666666666672</v>
      </c>
    </row>
    <row r="10" spans="1:2" x14ac:dyDescent="0.35">
      <c r="A10" s="2" t="s">
        <v>10</v>
      </c>
      <c r="B10" s="10">
        <v>0.58333333333333337</v>
      </c>
    </row>
    <row r="11" spans="1:2" x14ac:dyDescent="0.35">
      <c r="A11" s="2" t="s">
        <v>15</v>
      </c>
      <c r="B11" s="10">
        <v>0.875</v>
      </c>
    </row>
    <row r="12" spans="1:2" x14ac:dyDescent="0.35">
      <c r="A12" s="2" t="s">
        <v>5</v>
      </c>
      <c r="B12" s="10">
        <v>0.62750000000000006</v>
      </c>
    </row>
  </sheetData>
  <sheetProtection selectLockedCells="1"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E7598-68B4-42A9-9B27-46FCD51B0B9A}">
  <dimension ref="A3:B8"/>
  <sheetViews>
    <sheetView workbookViewId="0">
      <selection activeCell="F3" sqref="F3"/>
    </sheetView>
  </sheetViews>
  <sheetFormatPr defaultRowHeight="14.5" x14ac:dyDescent="0.35"/>
  <cols>
    <col min="1" max="1" width="12.453125" bestFit="1" customWidth="1"/>
    <col min="2" max="2" width="14.36328125" bestFit="1" customWidth="1"/>
  </cols>
  <sheetData>
    <row r="3" spans="1:2" x14ac:dyDescent="0.35">
      <c r="A3" s="1" t="s">
        <v>4</v>
      </c>
      <c r="B3" t="s">
        <v>18</v>
      </c>
    </row>
    <row r="4" spans="1:2" x14ac:dyDescent="0.35">
      <c r="A4" s="2" t="s">
        <v>27</v>
      </c>
      <c r="B4">
        <v>5</v>
      </c>
    </row>
    <row r="5" spans="1:2" x14ac:dyDescent="0.35">
      <c r="A5" s="2" t="s">
        <v>29</v>
      </c>
      <c r="B5">
        <v>1</v>
      </c>
    </row>
    <row r="6" spans="1:2" x14ac:dyDescent="0.35">
      <c r="A6" s="2" t="s">
        <v>26</v>
      </c>
      <c r="B6">
        <v>4</v>
      </c>
    </row>
    <row r="7" spans="1:2" x14ac:dyDescent="0.35">
      <c r="A7" s="2" t="s">
        <v>28</v>
      </c>
      <c r="B7">
        <v>10</v>
      </c>
    </row>
    <row r="8" spans="1:2" x14ac:dyDescent="0.35">
      <c r="A8" s="2" t="s">
        <v>5</v>
      </c>
      <c r="B8">
        <v>20</v>
      </c>
    </row>
  </sheetData>
  <sheetProtection selectLockedCells="1"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CFB95-3985-4456-AE73-9E3460C596F3}">
  <dimension ref="A3:B8"/>
  <sheetViews>
    <sheetView topLeftCell="A2" workbookViewId="0">
      <selection activeCell="B6" sqref="B6"/>
    </sheetView>
  </sheetViews>
  <sheetFormatPr defaultRowHeight="14.5" x14ac:dyDescent="0.35"/>
  <cols>
    <col min="1" max="1" width="14.90625" bestFit="1" customWidth="1"/>
    <col min="2" max="2" width="14.36328125" bestFit="1" customWidth="1"/>
  </cols>
  <sheetData>
    <row r="3" spans="1:2" x14ac:dyDescent="0.35">
      <c r="A3" s="1" t="s">
        <v>4</v>
      </c>
      <c r="B3" t="s">
        <v>18</v>
      </c>
    </row>
    <row r="4" spans="1:2" x14ac:dyDescent="0.35">
      <c r="A4" s="2" t="s">
        <v>20</v>
      </c>
      <c r="B4">
        <v>3</v>
      </c>
    </row>
    <row r="5" spans="1:2" x14ac:dyDescent="0.35">
      <c r="A5" s="2" t="s">
        <v>2</v>
      </c>
      <c r="B5">
        <v>6</v>
      </c>
    </row>
    <row r="6" spans="1:2" x14ac:dyDescent="0.35">
      <c r="A6" s="2" t="s">
        <v>19</v>
      </c>
      <c r="B6">
        <v>4</v>
      </c>
    </row>
    <row r="7" spans="1:2" x14ac:dyDescent="0.35">
      <c r="A7" s="2" t="s">
        <v>14</v>
      </c>
      <c r="B7">
        <v>7</v>
      </c>
    </row>
    <row r="8" spans="1:2" x14ac:dyDescent="0.35">
      <c r="A8" s="2" t="s">
        <v>5</v>
      </c>
      <c r="B8">
        <v>20</v>
      </c>
    </row>
  </sheetData>
  <sheetProtection selectLockedCells="1"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A4242-879F-42DB-89B9-94E9D95FF384}">
  <dimension ref="A3:B12"/>
  <sheetViews>
    <sheetView workbookViewId="0">
      <selection activeCell="E9" sqref="E9"/>
    </sheetView>
  </sheetViews>
  <sheetFormatPr defaultRowHeight="14.5" x14ac:dyDescent="0.35"/>
  <cols>
    <col min="1" max="1" width="18.7265625" bestFit="1" customWidth="1"/>
    <col min="2" max="2" width="14.36328125" bestFit="1" customWidth="1"/>
    <col min="3" max="3" width="3.81640625" bestFit="1" customWidth="1"/>
    <col min="4" max="4" width="10.36328125" bestFit="1" customWidth="1"/>
  </cols>
  <sheetData>
    <row r="3" spans="1:2" x14ac:dyDescent="0.35">
      <c r="A3" s="1" t="s">
        <v>4</v>
      </c>
      <c r="B3" t="s">
        <v>18</v>
      </c>
    </row>
    <row r="4" spans="1:2" x14ac:dyDescent="0.35">
      <c r="A4" s="2" t="s">
        <v>13</v>
      </c>
      <c r="B4">
        <v>1</v>
      </c>
    </row>
    <row r="5" spans="1:2" x14ac:dyDescent="0.35">
      <c r="A5" s="2" t="s">
        <v>12</v>
      </c>
      <c r="B5">
        <v>2</v>
      </c>
    </row>
    <row r="6" spans="1:2" x14ac:dyDescent="0.35">
      <c r="A6" s="2" t="s">
        <v>9</v>
      </c>
      <c r="B6">
        <v>3</v>
      </c>
    </row>
    <row r="7" spans="1:2" x14ac:dyDescent="0.35">
      <c r="A7" s="2" t="s">
        <v>7</v>
      </c>
      <c r="B7">
        <v>4</v>
      </c>
    </row>
    <row r="8" spans="1:2" x14ac:dyDescent="0.35">
      <c r="A8" s="2" t="s">
        <v>14</v>
      </c>
      <c r="B8">
        <v>2</v>
      </c>
    </row>
    <row r="9" spans="1:2" x14ac:dyDescent="0.35">
      <c r="A9" s="2" t="s">
        <v>3</v>
      </c>
      <c r="B9">
        <v>3</v>
      </c>
    </row>
    <row r="10" spans="1:2" x14ac:dyDescent="0.35">
      <c r="A10" s="2" t="s">
        <v>10</v>
      </c>
      <c r="B10">
        <v>3</v>
      </c>
    </row>
    <row r="11" spans="1:2" x14ac:dyDescent="0.35">
      <c r="A11" s="2" t="s">
        <v>15</v>
      </c>
      <c r="B11">
        <v>2</v>
      </c>
    </row>
    <row r="12" spans="1:2" x14ac:dyDescent="0.35">
      <c r="A12" s="2" t="s">
        <v>5</v>
      </c>
      <c r="B12">
        <v>20</v>
      </c>
    </row>
  </sheetData>
  <sheetProtection selectLockedCells="1"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8CB56-AE99-4662-B696-729F18DAB6B4}">
  <dimension ref="A3:B6"/>
  <sheetViews>
    <sheetView workbookViewId="0">
      <selection activeCell="B4" sqref="B4"/>
    </sheetView>
  </sheetViews>
  <sheetFormatPr defaultRowHeight="14.5" x14ac:dyDescent="0.35"/>
  <cols>
    <col min="1" max="1" width="12.453125" bestFit="1" customWidth="1"/>
    <col min="2" max="2" width="14.36328125" bestFit="1" customWidth="1"/>
  </cols>
  <sheetData>
    <row r="3" spans="1:2" x14ac:dyDescent="0.35">
      <c r="A3" s="1" t="s">
        <v>4</v>
      </c>
      <c r="B3" t="s">
        <v>18</v>
      </c>
    </row>
    <row r="4" spans="1:2" x14ac:dyDescent="0.35">
      <c r="A4" s="2" t="s">
        <v>8</v>
      </c>
      <c r="B4">
        <v>8</v>
      </c>
    </row>
    <row r="5" spans="1:2" x14ac:dyDescent="0.35">
      <c r="A5" s="2" t="s">
        <v>1</v>
      </c>
      <c r="B5">
        <v>12</v>
      </c>
    </row>
    <row r="6" spans="1:2" x14ac:dyDescent="0.35">
      <c r="A6" s="2" t="s">
        <v>5</v>
      </c>
      <c r="B6">
        <v>20</v>
      </c>
    </row>
  </sheetData>
  <sheetProtection selectLockedCells="1"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A6537-D59B-4706-88E2-6A88FC90833C}">
  <dimension ref="A3:B6"/>
  <sheetViews>
    <sheetView workbookViewId="0">
      <selection activeCell="B5" sqref="B5"/>
    </sheetView>
  </sheetViews>
  <sheetFormatPr defaultRowHeight="14.5" x14ac:dyDescent="0.35"/>
  <cols>
    <col min="1" max="1" width="12.453125" bestFit="1" customWidth="1"/>
    <col min="2" max="2" width="14.36328125" bestFit="1" customWidth="1"/>
  </cols>
  <sheetData>
    <row r="3" spans="1:2" x14ac:dyDescent="0.35">
      <c r="A3" s="1" t="s">
        <v>4</v>
      </c>
      <c r="B3" t="s">
        <v>18</v>
      </c>
    </row>
    <row r="4" spans="1:2" x14ac:dyDescent="0.35">
      <c r="A4" s="2" t="s">
        <v>8</v>
      </c>
      <c r="B4">
        <v>8</v>
      </c>
    </row>
    <row r="5" spans="1:2" x14ac:dyDescent="0.35">
      <c r="A5" s="2" t="s">
        <v>1</v>
      </c>
      <c r="B5">
        <v>12</v>
      </c>
    </row>
    <row r="6" spans="1:2" x14ac:dyDescent="0.35">
      <c r="A6" s="2" t="s">
        <v>5</v>
      </c>
      <c r="B6">
        <v>20</v>
      </c>
    </row>
  </sheetData>
  <sheetProtection selectLockedCells="1" pivotTables="0"/>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42459C-BB15-49E8-8E96-CD342528CD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Patient Data</vt:lpstr>
      <vt:lpstr>Average Percentage Score</vt:lpstr>
      <vt:lpstr>How long have patients attended</vt:lpstr>
      <vt:lpstr>How did you hear about us</vt:lpstr>
      <vt:lpstr>Satisfaction of Care by Departm</vt:lpstr>
      <vt:lpstr>Appt Convenience</vt:lpstr>
      <vt:lpstr>Adequately answer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2025-06-04T15:07:10Z</dcterms:created>
  <dcterms:modified xsi:type="dcterms:W3CDTF">2025-07-31T21:48:19Z</dcterms:modified>
</cp:coreProperties>
</file>