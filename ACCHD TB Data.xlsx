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hidePivotFieldList="1"/>
  <mc:AlternateContent xmlns:mc="http://schemas.openxmlformats.org/markup-compatibility/2006">
    <mc:Choice Requires="x15">
      <x15ac:absPath xmlns:x15ac="http://schemas.microsoft.com/office/spreadsheetml/2010/11/ac" url="C:\Users\phisf\Downloads\H2TX\ACCHD Health Data\"/>
    </mc:Choice>
  </mc:AlternateContent>
  <xr:revisionPtr revIDLastSave="0" documentId="13_ncr:1_{AA970E72-1E29-485D-8429-B70FFE64F7EC}" xr6:coauthVersionLast="47" xr6:coauthVersionMax="47" xr10:uidLastSave="{00000000-0000-0000-0000-000000000000}"/>
  <bookViews>
    <workbookView xWindow="-110" yWindow="-110" windowWidth="19420" windowHeight="10300" activeTab="1" xr2:uid="{00000000-000D-0000-FFFF-FFFF00000000}"/>
  </bookViews>
  <sheets>
    <sheet name="Dashboard" sheetId="2" r:id="rId1"/>
    <sheet name="TB Data" sheetId="1" r:id="rId2"/>
    <sheet name="Proportion Age Group" sheetId="9" r:id="rId3"/>
    <sheet name="Lab Completion and DOT Observat" sheetId="8" r:id="rId4"/>
    <sheet name="Patients by Chronic Diagnosis" sheetId="7" r:id="rId5"/>
    <sheet name="Avg. Age by Chronic Diagnosis" sheetId="6" r:id="rId6"/>
    <sheet name="Newly vs.Chronic Diagnosis Type" sheetId="4" r:id="rId7"/>
    <sheet name="Visit Type Distribution" sheetId="3" r:id="rId8"/>
  </sheets>
  <definedNames>
    <definedName name="Slicer_Age_Group">#N/A</definedName>
    <definedName name="Slicer_Chronic_Diagnosis">#N/A</definedName>
  </definedNames>
  <calcPr calcId="191029"/>
  <pivotCaches>
    <pivotCache cacheId="0" r:id="rId9"/>
  </pivotCaches>
  <extLst>
    <ext xmlns:x14="http://schemas.microsoft.com/office/spreadsheetml/2009/9/main" uri="{BBE1A952-AA13-448e-AADC-164F8A28A991}">
      <x14:slicerCaches>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3" i="1" l="1"/>
  <c r="D3" i="1" s="1" a="1"/>
  <c r="D3" i="1" s="1"/>
  <c r="C4" i="1"/>
  <c r="D4" i="1" s="1" a="1"/>
  <c r="D4" i="1" s="1"/>
  <c r="C5" i="1"/>
  <c r="D5" i="1" s="1" a="1"/>
  <c r="D5" i="1" s="1"/>
  <c r="C6" i="1"/>
  <c r="D6" i="1" s="1" a="1"/>
  <c r="D6" i="1" s="1"/>
  <c r="C7" i="1"/>
  <c r="D7" i="1" s="1" a="1"/>
  <c r="D7" i="1" s="1"/>
  <c r="C8" i="1"/>
  <c r="D8" i="1" s="1" a="1"/>
  <c r="D8" i="1" s="1"/>
  <c r="C9" i="1"/>
  <c r="D9" i="1" s="1" a="1"/>
  <c r="D9" i="1" s="1"/>
  <c r="C10" i="1"/>
  <c r="D10" i="1" s="1" a="1"/>
  <c r="D10" i="1" s="1"/>
  <c r="C11" i="1"/>
  <c r="D11" i="1" s="1" a="1"/>
  <c r="D11" i="1" s="1"/>
  <c r="C12" i="1"/>
  <c r="D12" i="1" s="1" a="1"/>
  <c r="D12" i="1" s="1"/>
  <c r="C13" i="1"/>
  <c r="D13" i="1" s="1" a="1"/>
  <c r="D13" i="1" s="1"/>
  <c r="C14" i="1"/>
  <c r="D14" i="1" s="1" a="1"/>
  <c r="D14" i="1" s="1"/>
  <c r="C15" i="1"/>
  <c r="D15" i="1" s="1" a="1"/>
  <c r="D15" i="1" s="1"/>
  <c r="C16" i="1"/>
  <c r="D16" i="1" s="1" a="1"/>
  <c r="D16" i="1" s="1"/>
  <c r="C17" i="1"/>
  <c r="D17" i="1" s="1" a="1"/>
  <c r="D17" i="1" s="1"/>
  <c r="C18" i="1"/>
  <c r="D18" i="1" s="1" a="1"/>
  <c r="D18" i="1" s="1"/>
  <c r="C19" i="1"/>
  <c r="D19" i="1" s="1" a="1"/>
  <c r="D19" i="1" s="1"/>
  <c r="C20" i="1"/>
  <c r="D20" i="1" s="1" a="1"/>
  <c r="D20" i="1" s="1"/>
  <c r="C21" i="1"/>
  <c r="D21" i="1" s="1" a="1"/>
  <c r="D21" i="1" s="1"/>
  <c r="C22" i="1"/>
  <c r="D22" i="1" s="1" a="1"/>
  <c r="D22" i="1" s="1"/>
  <c r="C23" i="1"/>
  <c r="D23" i="1" s="1" a="1"/>
  <c r="D23" i="1" s="1"/>
  <c r="C24" i="1"/>
  <c r="D24" i="1" s="1" a="1"/>
  <c r="D24" i="1" s="1"/>
  <c r="C2" i="1"/>
  <c r="D2" i="1" s="1" a="1"/>
  <c r="D2" i="1"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<sst xmlns="http://schemas.openxmlformats.org/spreadsheetml/2006/main" count="198" uniqueCount="55">
  <si>
    <t>Patient Initials</t>
  </si>
  <si>
    <t>Date of Birth</t>
  </si>
  <si>
    <t>Age</t>
  </si>
  <si>
    <t>Visit Type</t>
  </si>
  <si>
    <t>Labs Completed (Y/N)</t>
  </si>
  <si>
    <t>DOT Observed (Y/N)</t>
  </si>
  <si>
    <t>Newly Diagnosis (Y/N)</t>
  </si>
  <si>
    <t>Chronic Diagnosis</t>
  </si>
  <si>
    <t>DOT medication dosage</t>
  </si>
  <si>
    <t>DOT medication start</t>
  </si>
  <si>
    <t>TSPOT blood draw</t>
  </si>
  <si>
    <t>Final DOT dosage</t>
  </si>
  <si>
    <t>Health history/labs</t>
  </si>
  <si>
    <t>Medication refill/labs</t>
  </si>
  <si>
    <t>Medication start</t>
  </si>
  <si>
    <t>Yes</t>
  </si>
  <si>
    <t>No</t>
  </si>
  <si>
    <t>Hypertension</t>
  </si>
  <si>
    <t>None</t>
  </si>
  <si>
    <t>Fibromyalgia</t>
  </si>
  <si>
    <t>D.U.</t>
  </si>
  <si>
    <t>T.U.</t>
  </si>
  <si>
    <t>H.S.</t>
  </si>
  <si>
    <t>U.G.</t>
  </si>
  <si>
    <t>I.X.</t>
  </si>
  <si>
    <t>V.D.</t>
  </si>
  <si>
    <t>Q.W.</t>
  </si>
  <si>
    <t>Q.B.</t>
  </si>
  <si>
    <t>G.G.</t>
  </si>
  <si>
    <t>M.W.</t>
  </si>
  <si>
    <t>W.N.</t>
  </si>
  <si>
    <t>W.T.</t>
  </si>
  <si>
    <t>X.P.</t>
  </si>
  <si>
    <t>N.V.</t>
  </si>
  <si>
    <t>J.C.</t>
  </si>
  <si>
    <t>E.E.</t>
  </si>
  <si>
    <t>Q.P.</t>
  </si>
  <si>
    <t>M.G.</t>
  </si>
  <si>
    <t>Y.N.</t>
  </si>
  <si>
    <t>Q.G.</t>
  </si>
  <si>
    <t>B.J.</t>
  </si>
  <si>
    <t>J.G.</t>
  </si>
  <si>
    <t>N.D.</t>
  </si>
  <si>
    <t>Row Labels</t>
  </si>
  <si>
    <t>Grand Total</t>
  </si>
  <si>
    <t>Count of Patient Initials</t>
  </si>
  <si>
    <t>Column Labels</t>
  </si>
  <si>
    <t>Unknown until health history done</t>
  </si>
  <si>
    <t>Average of Age</t>
  </si>
  <si>
    <t>Age Group</t>
  </si>
  <si>
    <t>18–29</t>
  </si>
  <si>
    <t>30–39</t>
  </si>
  <si>
    <t>40–49</t>
  </si>
  <si>
    <t>50–59</t>
  </si>
  <si>
    <t>60+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</si>
</sst>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0" fontId="1" fillId="0" borderId="0" xfId="0" applyFont="1" applyAlignment="1">
      <alignment horizontal="center"/>
    </xf>
    <xf numFmtId="0" fontId="0" fillId="0" borderId="0" xfId="0" applyAlignment="1">
      <alignment horizontal="center"/>
    </xf>
    <xf numFmtId="14" fontId="0" fillId="0" borderId="0" xfId="0" applyNumberFormat="1" applyAlignment="1">
      <alignment horizontal="center"/>
    </xf>
    <xf numFmtId="0" fontId="0" fillId="0" borderId="0" xfId="0" applyAlignment="1">
      <alignment horizontal="center" wrapText="1"/>
    </xf>
    <xf numFmtId="0" fontId="0" fillId="0" borderId="0" xfId="0" pivotButton="1"/>
    <xf numFmtId="0" fontId="0" fillId="0" borderId="0" xfId="0" applyAlignment="1">
      <alignment horizontal="left"/>
    </xf>
    <xf numFmtId="164" fontId="0" fillId="0" borderId="0" xfId="0" applyNumberFormat="1"/>
  </cellXfs>
  <cellStyles count="1">
    <cellStyle name="Normal" xfId="0" builtinId="0"/>
  </cellStyles>
  <dxfs count="11">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alignment horizontal="center" vertical="bottom" textRotation="0" wrapText="0" indent="0" justifyLastLine="0" shrinkToFit="0" readingOrder="0"/>
    </dxf>
    <dxf>
      <numFmt numFmtId="19" formatCode="m/d/yyyy"/>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font>
        <b/>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heetMetadata" Target="metadata.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[ACCHD TB Data.xlsx]Proportion Age Group!PivotTable1</c:name>
    <c:fmtId val="5"/>
  </c:pivotSource>
  <c:chart>
    <c:title>
      <c:tx>
        <c:rich>
          <a:bodyPr rot="0" spcFirstLastPara="1" vertOverflow="ellipsis" vert="horz" wrap="square" anchor="ctr" anchorCtr="1"/>
          <a:lstStyle/>
          <a:p>
            <a:pPr>
              <a:defRPr sz="1800" b="1" i="0" u="none" strike="noStrike" kern="1200" baseline="0">
                <a:solidFill>
                  <a:sysClr val="windowText" lastClr="000000"/>
                </a:solidFill>
                <a:latin typeface="+mn-lt"/>
                <a:ea typeface="+mn-ea"/>
                <a:cs typeface="+mn-cs"/>
              </a:defRPr>
            </a:pPr>
            <a:r>
              <a:rPr lang="en-US">
                <a:solidFill>
                  <a:sysClr val="windowText" lastClr="000000"/>
                </a:solidFill>
              </a:rPr>
              <a:t>Proportion of Patients by Age Group</a:t>
            </a:r>
          </a:p>
        </c:rich>
      </c:tx>
      <c:overlay val="0"/>
      <c:spPr>
        <a:noFill/>
        <a:ln>
          <a:noFill/>
        </a:ln>
        <a:effectLst/>
      </c:spPr>
      <c:txPr>
        <a:bodyPr rot="0" spcFirstLastPara="1" vertOverflow="ellipsis" vert="horz" wrap="square" anchor="ctr" anchorCtr="1"/>
        <a:lstStyle/>
        <a:p>
          <a:pPr>
            <a:defRPr sz="1800" b="1" i="0" u="none" strike="noStrike" kern="1200" baseline="0">
              <a:solidFill>
                <a:sysClr val="windowText" lastClr="000000"/>
              </a:solidFill>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1"/>
          <c:showBubbleSize val="0"/>
          <c:extLst>
            <c:ext xmlns:c15="http://schemas.microsoft.com/office/drawing/2012/chart" uri="{CE6537A1-D6FC-4f65-9D91-7224C49458BB}"/>
          </c:extLst>
        </c:dLbl>
      </c:pivotFmt>
      <c:pivotFmt>
        <c:idx val="1"/>
        <c:dLbl>
          <c:idx val="0"/>
          <c:layout>
            <c:manualLayout>
              <c:x val="2.7777777777777779E-3"/>
              <c:y val="3.5634743875278395E-2"/>
            </c:manualLayout>
          </c:layout>
          <c:dLblPos val="bestFit"/>
          <c:showLegendKey val="0"/>
          <c:showVal val="1"/>
          <c:showCatName val="0"/>
          <c:showSerName val="0"/>
          <c:showPercent val="1"/>
          <c:showBubbleSize val="0"/>
          <c:extLst>
            <c:ext xmlns:c15="http://schemas.microsoft.com/office/drawing/2012/chart" uri="{CE6537A1-D6FC-4f65-9D91-7224C49458BB}"/>
          </c:extLst>
        </c:dLbl>
      </c:pivotFmt>
      <c:pivotFmt>
        <c:idx val="2"/>
        <c:dLbl>
          <c:idx val="0"/>
          <c:layout>
            <c:manualLayout>
              <c:x val="-1.9444444444444445E-2"/>
              <c:y val="2.2271714922048998E-2"/>
            </c:manualLayout>
          </c:layout>
          <c:dLblPos val="bestFit"/>
          <c:showLegendKey val="0"/>
          <c:showVal val="1"/>
          <c:showCatName val="0"/>
          <c:showSerName val="0"/>
          <c:showPercent val="1"/>
          <c:showBubbleSize val="0"/>
          <c:extLst>
            <c:ext xmlns:c15="http://schemas.microsoft.com/office/drawing/2012/chart" uri="{CE6537A1-D6FC-4f65-9D91-7224C49458BB}"/>
          </c:extLst>
        </c:dLbl>
      </c:pivotFmt>
      <c:pivotFmt>
        <c:idx val="3"/>
        <c:dLbl>
          <c:idx val="0"/>
          <c:layout>
            <c:manualLayout>
              <c:x val="-2.2222222222222223E-2"/>
              <c:y val="-1.7817371937639281E-2"/>
            </c:manualLayout>
          </c:layout>
          <c:dLblPos val="bestFit"/>
          <c:showLegendKey val="0"/>
          <c:showVal val="1"/>
          <c:showCatName val="0"/>
          <c:showSerName val="0"/>
          <c:showPercent val="1"/>
          <c:showBubbleSize val="0"/>
          <c:extLst>
            <c:ext xmlns:c15="http://schemas.microsoft.com/office/drawing/2012/chart" uri="{CE6537A1-D6FC-4f65-9D91-7224C49458BB}"/>
          </c:extLst>
        </c:dLbl>
      </c:pivotFmt>
      <c:pivotFmt>
        <c:idx val="4"/>
        <c:dLbl>
          <c:idx val="0"/>
          <c:layout>
            <c:manualLayout>
              <c:x val="2.7777777777777267E-3"/>
              <c:y val="-2.2271714922048998E-2"/>
            </c:manualLayout>
          </c:layout>
          <c:dLblPos val="bestFit"/>
          <c:showLegendKey val="0"/>
          <c:showVal val="1"/>
          <c:showCatName val="0"/>
          <c:showSerName val="0"/>
          <c:showPercent val="1"/>
          <c:showBubbleSize val="0"/>
          <c:extLst>
            <c:ext xmlns:c15="http://schemas.microsoft.com/office/drawing/2012/chart" uri="{CE6537A1-D6FC-4f65-9D91-7224C49458BB}"/>
          </c:extLst>
        </c:dLbl>
      </c:pivotFmt>
      <c:pivotFmt>
        <c:idx val="5"/>
        <c:dLbl>
          <c:idx val="0"/>
          <c:layout>
            <c:manualLayout>
              <c:x val="2.2222222222222171E-2"/>
              <c:y val="-8.1662011347656074E-17"/>
            </c:manualLayout>
          </c:layout>
          <c:dLblPos val="bestFit"/>
          <c:showLegendKey val="0"/>
          <c:showVal val="1"/>
          <c:showCatName val="0"/>
          <c:showSerName val="0"/>
          <c:showPercent val="1"/>
          <c:showBubbleSize val="0"/>
          <c:extLst>
            <c:ext xmlns:c15="http://schemas.microsoft.com/office/drawing/2012/chart" uri="{CE6537A1-D6FC-4f65-9D91-7224C49458BB}"/>
          </c:extLst>
        </c:dLbl>
      </c:pivotFmt>
      <c:pivotFmt>
        <c:idx val="6"/>
        <c:dLbl>
          <c:idx val="0"/>
          <c:dLblPos val="outEnd"/>
          <c:showLegendKey val="0"/>
          <c:showVal val="1"/>
          <c:showCatName val="0"/>
          <c:showSerName val="0"/>
          <c:showPercent val="1"/>
          <c:showBubbleSize val="0"/>
          <c:extLst>
            <c:ext xmlns:c15="http://schemas.microsoft.com/office/drawing/2012/chart" uri="{CE6537A1-D6FC-4f65-9D91-7224C49458BB}"/>
          </c:extLst>
        </c:dLbl>
      </c:pivotFmt>
      <c:pivotFmt>
        <c:idx val="7"/>
        <c:dLbl>
          <c:idx val="0"/>
          <c:layout>
            <c:manualLayout>
              <c:x val="2.7777777777777779E-3"/>
              <c:y val="3.5634743875278395E-2"/>
            </c:manualLayout>
          </c:layout>
          <c:dLblPos val="bestFit"/>
          <c:showLegendKey val="0"/>
          <c:showVal val="1"/>
          <c:showCatName val="0"/>
          <c:showSerName val="0"/>
          <c:showPercent val="1"/>
          <c:showBubbleSize val="0"/>
          <c:extLst>
            <c:ext xmlns:c15="http://schemas.microsoft.com/office/drawing/2012/chart" uri="{CE6537A1-D6FC-4f65-9D91-7224C49458BB}"/>
          </c:extLst>
        </c:dLbl>
      </c:pivotFmt>
      <c:pivotFmt>
        <c:idx val="8"/>
        <c:dLbl>
          <c:idx val="0"/>
          <c:layout>
            <c:manualLayout>
              <c:x val="-1.9444444444444445E-2"/>
              <c:y val="2.2271714922048998E-2"/>
            </c:manualLayout>
          </c:layout>
          <c:dLblPos val="bestFit"/>
          <c:showLegendKey val="0"/>
          <c:showVal val="1"/>
          <c:showCatName val="0"/>
          <c:showSerName val="0"/>
          <c:showPercent val="1"/>
          <c:showBubbleSize val="0"/>
          <c:extLst>
            <c:ext xmlns:c15="http://schemas.microsoft.com/office/drawing/2012/chart" uri="{CE6537A1-D6FC-4f65-9D91-7224C49458BB}"/>
          </c:extLst>
        </c:dLbl>
      </c:pivotFmt>
      <c:pivotFmt>
        <c:idx val="9"/>
        <c:dLbl>
          <c:idx val="0"/>
          <c:layout>
            <c:manualLayout>
              <c:x val="-2.2222222222222223E-2"/>
              <c:y val="-1.7817371937639281E-2"/>
            </c:manualLayout>
          </c:layout>
          <c:dLblPos val="bestFit"/>
          <c:showLegendKey val="0"/>
          <c:showVal val="1"/>
          <c:showCatName val="0"/>
          <c:showSerName val="0"/>
          <c:showPercent val="1"/>
          <c:showBubbleSize val="0"/>
          <c:extLst>
            <c:ext xmlns:c15="http://schemas.microsoft.com/office/drawing/2012/chart" uri="{CE6537A1-D6FC-4f65-9D91-7224C49458BB}"/>
          </c:extLst>
        </c:dLbl>
      </c:pivotFmt>
      <c:pivotFmt>
        <c:idx val="10"/>
        <c:dLbl>
          <c:idx val="0"/>
          <c:layout>
            <c:manualLayout>
              <c:x val="2.7777777777777267E-3"/>
              <c:y val="-2.2271714922048998E-2"/>
            </c:manualLayout>
          </c:layout>
          <c:dLblPos val="bestFit"/>
          <c:showLegendKey val="0"/>
          <c:showVal val="1"/>
          <c:showCatName val="0"/>
          <c:showSerName val="0"/>
          <c:showPercent val="1"/>
          <c:showBubbleSize val="0"/>
          <c:extLst>
            <c:ext xmlns:c15="http://schemas.microsoft.com/office/drawing/2012/chart" uri="{CE6537A1-D6FC-4f65-9D91-7224C49458BB}"/>
          </c:extLst>
        </c:dLbl>
      </c:pivotFmt>
      <c:pivotFmt>
        <c:idx val="11"/>
        <c:dLbl>
          <c:idx val="0"/>
          <c:layout>
            <c:manualLayout>
              <c:x val="2.2222222222222171E-2"/>
              <c:y val="-8.1662011347656074E-17"/>
            </c:manualLayout>
          </c:layout>
          <c:dLblPos val="bestFit"/>
          <c:showLegendKey val="0"/>
          <c:showVal val="1"/>
          <c:showCatName val="0"/>
          <c:showSerName val="0"/>
          <c:showPercent val="1"/>
          <c:showBubbleSize val="0"/>
          <c:extLst>
            <c:ext xmlns:c15="http://schemas.microsoft.com/office/drawing/2012/chart" uri="{CE6537A1-D6FC-4f65-9D91-7224C49458BB}"/>
          </c:extLst>
        </c:dLbl>
      </c:pivotFmt>
      <c:pivotFmt>
        <c:idx val="12"/>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eparator>
</c:separator>
          <c:extLst>
            <c:ext xmlns:c15="http://schemas.microsoft.com/office/drawing/2012/chart" uri="{CE6537A1-D6FC-4f65-9D91-7224C49458BB}"/>
          </c:extLst>
        </c:dLbl>
      </c:pivotFmt>
      <c:pivotFmt>
        <c:idx val="13"/>
        <c:spPr>
          <a:solidFill>
            <a:schemeClr val="accent1"/>
          </a:solidFill>
          <a:ln>
            <a:noFill/>
          </a:ln>
          <a:effectLst>
            <a:outerShdw blurRad="254000" sx="102000" sy="102000" algn="ctr" rotWithShape="0">
              <a:prstClr val="black">
                <a:alpha val="20000"/>
              </a:prstClr>
            </a:outerShdw>
          </a:effectLst>
        </c:spPr>
        <c:dLbl>
          <c:idx val="0"/>
          <c:layout>
            <c:manualLayout>
              <c:x val="-4.7668089949578045E-2"/>
              <c:y val="0.13960331661298148"/>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0"/>
          <c:showCatName val="0"/>
          <c:showSerName val="0"/>
          <c:showPercent val="1"/>
          <c:showBubbleSize val="0"/>
          <c:separator>
</c:separator>
          <c:extLst>
            <c:ext xmlns:c15="http://schemas.microsoft.com/office/drawing/2012/chart" uri="{CE6537A1-D6FC-4f65-9D91-7224C49458BB}">
              <c15:layout>
                <c:manualLayout>
                  <c:w val="5.9396800440995233E-2"/>
                  <c:h val="6.2834687419685148E-2"/>
                </c:manualLayout>
              </c15:layout>
            </c:ext>
          </c:extLst>
        </c:dLbl>
      </c:pivotFmt>
      <c:pivotFmt>
        <c:idx val="14"/>
        <c:spPr>
          <a:solidFill>
            <a:schemeClr val="accent1"/>
          </a:solidFill>
          <a:ln>
            <a:noFill/>
          </a:ln>
          <a:effectLst>
            <a:outerShdw blurRad="254000" sx="102000" sy="102000" algn="ctr" rotWithShape="0">
              <a:prstClr val="black">
                <a:alpha val="20000"/>
              </a:prstClr>
            </a:outerShdw>
          </a:effectLst>
        </c:spPr>
        <c:dLbl>
          <c:idx val="0"/>
          <c:layout>
            <c:manualLayout>
              <c:x val="-0.10607703253409734"/>
              <c:y val="0.10780694763451748"/>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0"/>
          <c:showCatName val="0"/>
          <c:showSerName val="0"/>
          <c:showPercent val="1"/>
          <c:showBubbleSize val="0"/>
          <c:separator>
</c:separator>
          <c:extLst>
            <c:ext xmlns:c15="http://schemas.microsoft.com/office/drawing/2012/chart" uri="{CE6537A1-D6FC-4f65-9D91-7224C49458BB}"/>
          </c:extLst>
        </c:dLbl>
      </c:pivotFmt>
      <c:pivotFmt>
        <c:idx val="15"/>
        <c:spPr>
          <a:solidFill>
            <a:schemeClr val="accent1"/>
          </a:solidFill>
          <a:ln>
            <a:noFill/>
          </a:ln>
          <a:effectLst>
            <a:outerShdw blurRad="254000" sx="102000" sy="102000" algn="ctr" rotWithShape="0">
              <a:prstClr val="black">
                <a:alpha val="20000"/>
              </a:prstClr>
            </a:outerShdw>
          </a:effectLst>
        </c:spPr>
        <c:dLbl>
          <c:idx val="0"/>
          <c:layout>
            <c:manualLayout>
              <c:x val="-0.10931215238382487"/>
              <c:y val="-0.12325131523795094"/>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0"/>
          <c:showCatName val="0"/>
          <c:showSerName val="0"/>
          <c:showPercent val="1"/>
          <c:showBubbleSize val="0"/>
          <c:separator>
</c:separator>
          <c:extLst>
            <c:ext xmlns:c15="http://schemas.microsoft.com/office/drawing/2012/chart" uri="{CE6537A1-D6FC-4f65-9D91-7224C49458BB}"/>
          </c:extLst>
        </c:dLbl>
      </c:pivotFmt>
      <c:pivotFmt>
        <c:idx val="16"/>
        <c:spPr>
          <a:solidFill>
            <a:schemeClr val="accent1"/>
          </a:solidFill>
          <a:ln>
            <a:noFill/>
          </a:ln>
          <a:effectLst>
            <a:outerShdw blurRad="254000" sx="102000" sy="102000" algn="ctr" rotWithShape="0">
              <a:prstClr val="black">
                <a:alpha val="20000"/>
              </a:prstClr>
            </a:outerShdw>
          </a:effectLst>
        </c:spPr>
        <c:dLbl>
          <c:idx val="0"/>
          <c:layout>
            <c:manualLayout>
              <c:x val="5.793233555783904E-2"/>
              <c:y val="-0.14582987075846393"/>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0"/>
          <c:showCatName val="0"/>
          <c:showSerName val="0"/>
          <c:showPercent val="1"/>
          <c:showBubbleSize val="0"/>
          <c:separator>
</c:separator>
          <c:extLst>
            <c:ext xmlns:c15="http://schemas.microsoft.com/office/drawing/2012/chart" uri="{CE6537A1-D6FC-4f65-9D91-7224C49458BB}"/>
          </c:extLst>
        </c:dLbl>
      </c:pivotFmt>
      <c:pivotFmt>
        <c:idx val="17"/>
        <c:spPr>
          <a:solidFill>
            <a:schemeClr val="accent1"/>
          </a:solidFill>
          <a:ln>
            <a:noFill/>
          </a:ln>
          <a:effectLst>
            <a:outerShdw blurRad="254000" sx="102000" sy="102000" algn="ctr" rotWithShape="0">
              <a:prstClr val="black">
                <a:alpha val="20000"/>
              </a:prstClr>
            </a:outerShdw>
          </a:effectLst>
        </c:spPr>
        <c:dLbl>
          <c:idx val="0"/>
          <c:layout>
            <c:manualLayout>
              <c:x val="0.13233117641694428"/>
              <c:y val="7.4587713743902148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0"/>
          <c:showCatName val="0"/>
          <c:showSerName val="0"/>
          <c:showPercent val="1"/>
          <c:showBubbleSize val="0"/>
          <c:separator>
</c:separator>
          <c:extLst>
            <c:ext xmlns:c15="http://schemas.microsoft.com/office/drawing/2012/chart" uri="{CE6537A1-D6FC-4f65-9D91-7224C49458BB}"/>
          </c:extLst>
        </c:dLbl>
      </c:pivotFmt>
    </c:pivotFmts>
    <c:plotArea>
      <c:layout/>
      <c:pieChart>
        <c:varyColors val="1"/>
        <c:ser>
          <c:idx val="0"/>
          <c:order val="0"/>
          <c:tx>
            <c:strRef>
              <c:f>'Proportion Age Group'!$B$3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B4DE-4866-8A52-C1C606B441ED}"/>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B4DE-4866-8A52-C1C606B441ED}"/>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B4DE-4866-8A52-C1C606B441ED}"/>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B4DE-4866-8A52-C1C606B441ED}"/>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B4DE-4866-8A52-C1C606B441ED}"/>
              </c:ext>
            </c:extLst>
          </c:dPt>
          <c:dLbls>
            <c:dLbl>
              <c:idx val="0"/>
              <c:layout>
                <c:manualLayout>
                  <c:x val="-4.7668089949578045E-2"/>
                  <c:y val="0.13960331661298148"/>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0"/>
              <c:showCatName val="0"/>
              <c:showSerName val="0"/>
              <c:showPercent val="1"/>
              <c:showBubbleSize val="0"/>
              <c:separator>
</c:separator>
              <c:extLst>
                <c:ext xmlns:c15="http://schemas.microsoft.com/office/drawing/2012/chart" uri="{CE6537A1-D6FC-4f65-9D91-7224C49458BB}">
                  <c15:layout>
                    <c:manualLayout>
                      <c:w val="5.9396800440995233E-2"/>
                      <c:h val="6.2834687419685148E-2"/>
                    </c:manualLayout>
                  </c15:layout>
                </c:ext>
                <c:ext xmlns:c16="http://schemas.microsoft.com/office/drawing/2014/chart" uri="{C3380CC4-5D6E-409C-BE32-E72D297353CC}">
                  <c16:uniqueId val="{00000001-B4DE-4866-8A52-C1C606B441ED}"/>
                </c:ext>
              </c:extLst>
            </c:dLbl>
            <c:dLbl>
              <c:idx val="1"/>
              <c:layout>
                <c:manualLayout>
                  <c:x val="-0.10607703253409734"/>
                  <c:y val="0.10780694763451748"/>
                </c:manualLayout>
              </c:layout>
              <c:dLblPos val="bestFit"/>
              <c:showLegendKey val="0"/>
              <c:showVal val="0"/>
              <c:showCatName val="0"/>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3-B4DE-4866-8A52-C1C606B441ED}"/>
                </c:ext>
              </c:extLst>
            </c:dLbl>
            <c:dLbl>
              <c:idx val="2"/>
              <c:layout>
                <c:manualLayout>
                  <c:x val="-0.10931215238382487"/>
                  <c:y val="-0.12325131523795094"/>
                </c:manualLayout>
              </c:layout>
              <c:dLblPos val="bestFit"/>
              <c:showLegendKey val="0"/>
              <c:showVal val="0"/>
              <c:showCatName val="0"/>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5-B4DE-4866-8A52-C1C606B441ED}"/>
                </c:ext>
              </c:extLst>
            </c:dLbl>
            <c:dLbl>
              <c:idx val="3"/>
              <c:layout>
                <c:manualLayout>
                  <c:x val="5.793233555783904E-2"/>
                  <c:y val="-0.14582987075846393"/>
                </c:manualLayout>
              </c:layout>
              <c:dLblPos val="bestFit"/>
              <c:showLegendKey val="0"/>
              <c:showVal val="0"/>
              <c:showCatName val="0"/>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7-B4DE-4866-8A52-C1C606B441ED}"/>
                </c:ext>
              </c:extLst>
            </c:dLbl>
            <c:dLbl>
              <c:idx val="4"/>
              <c:layout>
                <c:manualLayout>
                  <c:x val="0.13233117641694428"/>
                  <c:y val="7.4587713743902148E-2"/>
                </c:manualLayout>
              </c:layout>
              <c:dLblPos val="bestFit"/>
              <c:showLegendKey val="0"/>
              <c:showVal val="0"/>
              <c:showCatName val="0"/>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9-B4DE-4866-8A52-C1C606B441ED}"/>
                </c:ext>
              </c:extLst>
            </c:dLbl>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eparator>
</c:separator>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'Proportion Age Group'!$A$4:$A$9</c:f>
              <c:strCache>
                <c:ptCount val="5"/>
                <c:pt idx="0">
                  <c:v>18–29</c:v>
                </c:pt>
                <c:pt idx="1">
                  <c:v>30–39</c:v>
                </c:pt>
                <c:pt idx="2">
                  <c:v>40–49</c:v>
                </c:pt>
                <c:pt idx="3">
                  <c:v>50–59</c:v>
                </c:pt>
                <c:pt idx="4">
                  <c:v>60+</c:v>
                </c:pt>
              </c:strCache>
            </c:strRef>
          </c:cat>
          <c:val>
            <c:numRef>
              <c:f>'Proportion Age Group'!$B$4:$B$9</c:f>
              <c:numCache>
                <c:formatCode>General</c:formatCode>
                <c:ptCount val="5"/>
                <c:pt idx="0">
                  <c:v>2</c:v>
                </c:pt>
                <c:pt idx="1">
                  <c:v>3</c:v>
                </c:pt>
                <c:pt idx="2">
                  <c:v>6</c:v>
                </c:pt>
                <c:pt idx="3">
                  <c:v>3</c:v>
                </c:pt>
                <c:pt idx="4">
                  <c:v>9</c:v>
                </c:pt>
              </c:numCache>
            </c:numRef>
          </c:val>
          <c:extLst>
            <c:ext xmlns:c16="http://schemas.microsoft.com/office/drawing/2014/chart" uri="{C3380CC4-5D6E-409C-BE32-E72D297353CC}">
              <c16:uniqueId val="{0000000A-B4DE-4866-8A52-C1C606B441ED}"/>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[ACCHD TB Data.xlsx]Lab Completion and DOT Observat!PivotTable2</c:name>
    <c:fmtId val="6"/>
  </c:pivotSource>
  <c:chart>
    <c:title>
      <c:tx>
        <c:rich>
          <a:bodyPr rot="0" spcFirstLastPara="1" vertOverflow="ellipsis" vert="horz" wrap="square" anchor="ctr" anchorCtr="1"/>
          <a:lstStyle/>
          <a:p>
            <a:pPr>
              <a:defRPr sz="1600" b="1" i="0" u="none" strike="noStrike" kern="1200" baseline="0">
                <a:solidFill>
                  <a:sysClr val="windowText" lastClr="000000"/>
                </a:solidFill>
                <a:latin typeface="+mn-lt"/>
                <a:ea typeface="+mn-ea"/>
                <a:cs typeface="+mn-cs"/>
              </a:defRPr>
            </a:pPr>
            <a:r>
              <a:rPr lang="en-US">
                <a:solidFill>
                  <a:sysClr val="windowText" lastClr="000000"/>
                </a:solidFill>
              </a:rPr>
              <a:t>Comparison of Lab Completion and DOT Observation Status</a:t>
            </a:r>
          </a:p>
        </c:rich>
      </c:tx>
      <c:overlay val="0"/>
      <c:spPr>
        <a:noFill/>
        <a:ln>
          <a:noFill/>
        </a:ln>
        <a:effectLst/>
      </c:spPr>
      <c:txPr>
        <a:bodyPr rot="0" spcFirstLastPara="1" vertOverflow="ellipsis" vert="horz" wrap="square" anchor="ctr" anchorCtr="1"/>
        <a:lstStyle/>
        <a:p>
          <a:pPr>
            <a:defRPr sz="1600" b="1" i="0" u="none" strike="noStrike" kern="1200" baseline="0">
              <a:solidFill>
                <a:sysClr val="windowText" lastClr="000000"/>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'Lab Completion and DOT Observat'!$B$3:$B$4</c:f>
              <c:strCache>
                <c:ptCount val="1"/>
                <c:pt idx="0">
                  <c:v>No</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'Lab Completion and DOT Observat'!$A$5:$A$6</c:f>
              <c:strCache>
                <c:ptCount val="1"/>
                <c:pt idx="0">
                  <c:v>Yes</c:v>
                </c:pt>
              </c:strCache>
            </c:strRef>
          </c:cat>
          <c:val>
            <c:numRef>
              <c:f>'Lab Completion and DOT Observat'!$B$5:$B$6</c:f>
              <c:numCache>
                <c:formatCode>General</c:formatCode>
                <c:ptCount val="1"/>
                <c:pt idx="0">
                  <c:v>11</c:v>
                </c:pt>
              </c:numCache>
            </c:numRef>
          </c:val>
          <c:extLst>
            <c:ext xmlns:c16="http://schemas.microsoft.com/office/drawing/2014/chart" uri="{C3380CC4-5D6E-409C-BE32-E72D297353CC}">
              <c16:uniqueId val="{00000000-B1F9-4DDE-B74B-5C8DCECF4ED0}"/>
            </c:ext>
          </c:extLst>
        </c:ser>
        <c:ser>
          <c:idx val="1"/>
          <c:order val="1"/>
          <c:tx>
            <c:strRef>
              <c:f>'Lab Completion and DOT Observat'!$C$3:$C$4</c:f>
              <c:strCache>
                <c:ptCount val="1"/>
                <c:pt idx="0">
                  <c:v>Yes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'Lab Completion and DOT Observat'!$A$5:$A$6</c:f>
              <c:strCache>
                <c:ptCount val="1"/>
                <c:pt idx="0">
                  <c:v>Yes</c:v>
                </c:pt>
              </c:strCache>
            </c:strRef>
          </c:cat>
          <c:val>
            <c:numRef>
              <c:f>'Lab Completion and DOT Observat'!$C$5:$C$6</c:f>
              <c:numCache>
                <c:formatCode>General</c:formatCode>
                <c:ptCount val="1"/>
                <c:pt idx="0">
                  <c:v>12</c:v>
                </c:pt>
              </c:numCache>
            </c:numRef>
          </c:val>
          <c:extLst>
            <c:ext xmlns:c16="http://schemas.microsoft.com/office/drawing/2014/chart" uri="{C3380CC4-5D6E-409C-BE32-E72D297353CC}">
              <c16:uniqueId val="{00000001-C117-48A2-95F1-E70BE7C458FD}"/>
            </c:ext>
          </c:extLst>
        </c:ser>
        <c:dLbls>
          <c:showLegendKey val="0"/>
          <c:showVal val="0"/>
          <c:showCatName val="0"/>
          <c:showSerName val="0"/>
          <c:showPercent val="0"/>
          <c:showBubbleSize val="0"/>
        </c:dLbls>
        <c:gapWidth val="100"/>
        <c:overlap val="-24"/>
        <c:axId val="1586990544"/>
        <c:axId val="1586987664"/>
      </c:barChart>
      <c:catAx>
        <c:axId val="1586990544"/>
        <c:scaling>
          <c:orientation val="minMax"/>
        </c:scaling>
        <c:delete val="1"/>
        <c:axPos val="b"/>
        <c:title>
          <c:tx>
            <c:rich>
              <a:bodyPr rot="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r>
                  <a:rPr lang="en-US" b="1">
                    <a:solidFill>
                      <a:sysClr val="windowText" lastClr="000000"/>
                    </a:solidFill>
                  </a:rPr>
                  <a:t>Lab Completion Status</a:t>
                </a:r>
              </a:p>
            </c:rich>
          </c:tx>
          <c:layout>
            <c:manualLayout>
              <c:xMode val="edge"/>
              <c:yMode val="edge"/>
              <c:x val="0.37316338582677167"/>
              <c:y val="0.90284703995333915"/>
            </c:manualLayout>
          </c:layout>
          <c:overlay val="0"/>
          <c:spPr>
            <a:no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title>
        <c:numFmt formatCode="General" sourceLinked="1"/>
        <c:majorTickMark val="none"/>
        <c:minorTickMark val="none"/>
        <c:tickLblPos val="nextTo"/>
        <c:crossAx val="1586987664"/>
        <c:crosses val="autoZero"/>
        <c:auto val="1"/>
        <c:lblAlgn val="ctr"/>
        <c:lblOffset val="100"/>
        <c:noMultiLvlLbl val="0"/>
      </c:catAx>
      <c:valAx>
        <c:axId val="1586987664"/>
        <c:scaling>
          <c:orientation val="minMax"/>
          <c:min val="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r>
                  <a:rPr lang="en-US" b="1">
                    <a:solidFill>
                      <a:sysClr val="windowText" lastClr="000000"/>
                    </a:solidFill>
                  </a:rPr>
                  <a:t>Number of Patients</a:t>
                </a:r>
              </a:p>
            </c:rich>
          </c:tx>
          <c:overlay val="0"/>
          <c:spPr>
            <a:noFill/>
            <a:ln>
              <a:noFill/>
            </a:ln>
            <a:effectLst/>
          </c:spPr>
          <c:txPr>
            <a:bodyPr rot="-54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5869905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[ACCHD TB Data.xlsx]Patients by Chronic Diagnosis!PivotTable1</c:name>
    <c:fmtId val="7"/>
  </c:pivotSource>
  <c:chart>
    <c:title>
      <c:tx>
        <c:rich>
          <a:bodyPr rot="0" spcFirstLastPara="1" vertOverflow="ellipsis" vert="horz" wrap="square" anchor="ctr" anchorCtr="1"/>
          <a:lstStyle/>
          <a:p>
            <a:pPr>
              <a:defRPr sz="1600" b="1" i="0" u="none" strike="noStrike" kern="1200" baseline="0">
                <a:solidFill>
                  <a:sysClr val="windowText" lastClr="000000"/>
                </a:solidFill>
                <a:latin typeface="+mn-lt"/>
                <a:ea typeface="+mn-ea"/>
                <a:cs typeface="+mn-cs"/>
              </a:defRPr>
            </a:pPr>
            <a:r>
              <a:rPr lang="en-US">
                <a:solidFill>
                  <a:sysClr val="windowText" lastClr="000000"/>
                </a:solidFill>
              </a:rPr>
              <a:t>Proportion of Patients by Chronic Diagnosis</a:t>
            </a:r>
          </a:p>
        </c:rich>
      </c:tx>
      <c:overlay val="0"/>
      <c:spPr>
        <a:noFill/>
        <a:ln>
          <a:noFill/>
        </a:ln>
        <a:effectLst/>
      </c:spPr>
      <c:txPr>
        <a:bodyPr rot="0" spcFirstLastPara="1" vertOverflow="ellipsis" vert="horz" wrap="square" anchor="ctr" anchorCtr="1"/>
        <a:lstStyle/>
        <a:p>
          <a:pPr>
            <a:defRPr sz="1600" b="1" i="0" u="none" strike="noStrike" kern="1200" baseline="0">
              <a:solidFill>
                <a:sysClr val="windowText" lastClr="000000"/>
              </a:solidFill>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3.6396972117615792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'Patients by Chronic Diagnosis'!$B$3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0"/>
            <c:invertIfNegative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0-EB0A-4157-BD9E-CDACF6755C8F}"/>
              </c:ext>
            </c:extLst>
          </c:dPt>
          <c:dPt>
            <c:idx val="1"/>
            <c:invertIfNegative val="0"/>
            <c:bubble3D val="0"/>
            <c:extLst>
              <c:ext xmlns:c16="http://schemas.microsoft.com/office/drawing/2014/chart" uri="{C3380CC4-5D6E-409C-BE32-E72D297353CC}">
                <c16:uniqueId val="{00000001-EB0A-4157-BD9E-CDACF6755C8F}"/>
              </c:ext>
            </c:extLst>
          </c:dPt>
          <c:dPt>
            <c:idx val="2"/>
            <c:invertIfNegative val="0"/>
            <c:bubble3D val="0"/>
            <c:extLst>
              <c:ext xmlns:c16="http://schemas.microsoft.com/office/drawing/2014/chart" uri="{C3380CC4-5D6E-409C-BE32-E72D297353CC}">
                <c16:uniqueId val="{00000002-EB0A-4157-BD9E-CDACF6755C8F}"/>
              </c:ext>
            </c:extLst>
          </c:dPt>
          <c:dPt>
            <c:idx val="3"/>
            <c:invertIfNegative val="0"/>
            <c:bubble3D val="0"/>
            <c:extLst>
              <c:ext xmlns:c16="http://schemas.microsoft.com/office/drawing/2014/chart" uri="{C3380CC4-5D6E-409C-BE32-E72D297353CC}">
                <c16:uniqueId val="{00000003-EB0A-4157-BD9E-CDACF6755C8F}"/>
              </c:ext>
            </c:extLst>
          </c:dPt>
          <c:dLbls>
            <c:dLbl>
              <c:idx val="0"/>
              <c:layout>
                <c:manualLayout>
                  <c:x val="-3.6396972117615792E-2"/>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EB0A-4157-BD9E-CDACF6755C8F}"/>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'Patients by Chronic Diagnosis'!$A$4:$A$8</c:f>
              <c:strCache>
                <c:ptCount val="4"/>
                <c:pt idx="0">
                  <c:v>Fibromyalgia</c:v>
                </c:pt>
                <c:pt idx="1">
                  <c:v>Hypertension</c:v>
                </c:pt>
                <c:pt idx="2">
                  <c:v>None</c:v>
                </c:pt>
                <c:pt idx="3">
                  <c:v>Unknown until health history done</c:v>
                </c:pt>
              </c:strCache>
            </c:strRef>
          </c:cat>
          <c:val>
            <c:numRef>
              <c:f>'Patients by Chronic Diagnosis'!$B$4:$B$8</c:f>
              <c:numCache>
                <c:formatCode>General</c:formatCode>
                <c:ptCount val="4"/>
                <c:pt idx="0">
                  <c:v>1</c:v>
                </c:pt>
                <c:pt idx="1">
                  <c:v>3</c:v>
                </c:pt>
                <c:pt idx="2">
                  <c:v>14</c:v>
                </c:pt>
                <c:pt idx="3">
                  <c:v>5</c:v>
                </c:pt>
              </c:numCache>
            </c:numRef>
          </c:val>
          <c:extLst>
            <c:ext xmlns:c16="http://schemas.microsoft.com/office/drawing/2014/chart" uri="{C3380CC4-5D6E-409C-BE32-E72D297353CC}">
              <c16:uniqueId val="{00000004-EB0A-4157-BD9E-CDACF6755C8F}"/>
            </c:ext>
          </c:extLst>
        </c:ser>
        <c:dLbls>
          <c:dLblPos val="inEnd"/>
          <c:showLegendKey val="0"/>
          <c:showVal val="1"/>
          <c:showCatName val="0"/>
          <c:showSerName val="0"/>
          <c:showPercent val="0"/>
          <c:showBubbleSize val="0"/>
        </c:dLbls>
        <c:gapWidth val="115"/>
        <c:overlap val="-20"/>
        <c:axId val="1843758528"/>
        <c:axId val="1843770528"/>
      </c:barChart>
      <c:valAx>
        <c:axId val="1843770528"/>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r>
                  <a:rPr lang="en-US" b="1">
                    <a:solidFill>
                      <a:sysClr val="windowText" lastClr="000000"/>
                    </a:solidFill>
                  </a:rPr>
                  <a:t>Number of Patients</a:t>
                </a:r>
              </a:p>
            </c:rich>
          </c:tx>
          <c:overlay val="0"/>
          <c:spPr>
            <a:no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3758528"/>
        <c:crosses val="autoZero"/>
        <c:crossBetween val="between"/>
      </c:valAx>
      <c:catAx>
        <c:axId val="1843758528"/>
        <c:scaling>
          <c:orientation val="minMax"/>
        </c:scaling>
        <c:delete val="0"/>
        <c:axPos val="l"/>
        <c:title>
          <c:tx>
            <c:rich>
              <a:bodyPr rot="-54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r>
                  <a:rPr lang="en-US" b="1">
                    <a:solidFill>
                      <a:sysClr val="windowText" lastClr="000000"/>
                    </a:solidFill>
                  </a:rPr>
                  <a:t>Chronic Diagnosis</a:t>
                </a:r>
              </a:p>
            </c:rich>
          </c:tx>
          <c:overlay val="0"/>
          <c:spPr>
            <a:noFill/>
            <a:ln>
              <a:noFill/>
            </a:ln>
            <a:effectLst/>
          </c:spPr>
          <c:txPr>
            <a:bodyPr rot="-54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843770528"/>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[ACCHD TB Data.xlsx]Avg. Age by Chronic Diagnosis!PivotTable4</c:name>
    <c:fmtId val="7"/>
  </c:pivotSource>
  <c:chart>
    <c:title>
      <c:tx>
        <c:rich>
          <a:bodyPr rot="0" spcFirstLastPara="1" vertOverflow="ellipsis" vert="horz" wrap="square" anchor="ctr" anchorCtr="1"/>
          <a:lstStyle/>
          <a:p>
            <a:pPr>
              <a:defRPr sz="1400" b="1" i="0" u="none" strike="noStrike" kern="1200" baseline="0">
                <a:solidFill>
                  <a:sysClr val="windowText" lastClr="000000"/>
                </a:solidFill>
                <a:latin typeface="+mn-lt"/>
                <a:ea typeface="+mn-ea"/>
                <a:cs typeface="+mn-cs"/>
              </a:defRPr>
            </a:pPr>
            <a:r>
              <a:rPr lang="en-US" sz="1400">
                <a:solidFill>
                  <a:sysClr val="windowText" lastClr="000000"/>
                </a:solidFill>
              </a:rPr>
              <a:t>Average Age of Patients by Chronic Condition</a:t>
            </a:r>
          </a:p>
        </c:rich>
      </c:tx>
      <c:overlay val="0"/>
      <c:spPr>
        <a:noFill/>
        <a:ln>
          <a:noFill/>
        </a:ln>
        <a:effectLst/>
      </c:spPr>
      <c:txPr>
        <a:bodyPr rot="0" spcFirstLastPara="1" vertOverflow="ellipsis" vert="horz" wrap="square" anchor="ctr" anchorCtr="1"/>
        <a:lstStyle/>
        <a:p>
          <a:pPr>
            <a:defRPr sz="1400" b="1" i="0" u="none" strike="noStrike" kern="1200" baseline="0">
              <a:solidFill>
                <a:sysClr val="windowText" lastClr="000000"/>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layout>
            <c:manualLayout>
              <c:x val="0"/>
              <c:y val="-3.263403263403267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layout>
            <c:manualLayout>
              <c:x val="-2.8612303290415928E-3"/>
              <c:y val="-3.7296037296037338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layout>
            <c:manualLayout>
              <c:x val="2.8612303290414878E-3"/>
              <c:y val="-2.7972027972027993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layout>
            <c:manualLayout>
              <c:x val="0"/>
              <c:y val="-4.6620046620046707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layout>
            <c:manualLayout>
              <c:x val="2.8612303290414878E-3"/>
              <c:y val="-2.7972027972027993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layout>
            <c:manualLayout>
              <c:x val="-2.8612303290415928E-3"/>
              <c:y val="-3.7296037296037338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layout>
            <c:manualLayout>
              <c:x val="0"/>
              <c:y val="-3.263403263403267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layout>
            <c:manualLayout>
              <c:x val="0"/>
              <c:y val="-4.6620046620046707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layout>
            <c:manualLayout>
              <c:x val="2.8612303290414878E-3"/>
              <c:y val="-2.7972027972027993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layout>
            <c:manualLayout>
              <c:x val="-2.8612303290415928E-3"/>
              <c:y val="-3.7296037296037338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layout>
            <c:manualLayout>
              <c:x val="0"/>
              <c:y val="-3.263403263403267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4"/>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layout>
            <c:manualLayout>
              <c:x val="0"/>
              <c:y val="-4.6620046620046707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lineChart>
        <c:grouping val="standard"/>
        <c:varyColors val="0"/>
        <c:ser>
          <c:idx val="0"/>
          <c:order val="0"/>
          <c:tx>
            <c:strRef>
              <c:f>'Avg. Age by Chronic Diagnosis'!$B$3</c:f>
              <c:strCache>
                <c:ptCount val="1"/>
                <c:pt idx="0">
                  <c:v>Total</c:v>
                </c:pt>
              </c:strCache>
            </c:strRef>
          </c:tx>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Pt>
            <c:idx val="0"/>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bubble3D val="0"/>
            <c:spPr>
              <a:ln w="31750" cap="rnd">
                <a:solidFill>
                  <a:schemeClr val="accent1"/>
                </a:solidFill>
                <a:round/>
              </a:ln>
              <a:effectLst/>
            </c:spPr>
            <c:extLst>
              <c:ext xmlns:c16="http://schemas.microsoft.com/office/drawing/2014/chart" uri="{C3380CC4-5D6E-409C-BE32-E72D297353CC}">
                <c16:uniqueId val="{00000000-188F-4FB0-9354-F8C54EEC484F}"/>
              </c:ext>
            </c:extLst>
          </c:dPt>
          <c:dPt>
            <c:idx val="1"/>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bubble3D val="0"/>
            <c:spPr>
              <a:ln w="31750" cap="rnd">
                <a:solidFill>
                  <a:schemeClr val="accent1"/>
                </a:solidFill>
                <a:round/>
              </a:ln>
              <a:effectLst/>
            </c:spPr>
            <c:extLst>
              <c:ext xmlns:c16="http://schemas.microsoft.com/office/drawing/2014/chart" uri="{C3380CC4-5D6E-409C-BE32-E72D297353CC}">
                <c16:uniqueId val="{00000001-188F-4FB0-9354-F8C54EEC484F}"/>
              </c:ext>
            </c:extLst>
          </c:dPt>
          <c:dPt>
            <c:idx val="2"/>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bubble3D val="0"/>
            <c:spPr>
              <a:ln w="31750" cap="rnd">
                <a:solidFill>
                  <a:schemeClr val="accent1"/>
                </a:solidFill>
                <a:round/>
              </a:ln>
              <a:effectLst/>
            </c:spPr>
            <c:extLst>
              <c:ext xmlns:c16="http://schemas.microsoft.com/office/drawing/2014/chart" uri="{C3380CC4-5D6E-409C-BE32-E72D297353CC}">
                <c16:uniqueId val="{00000002-188F-4FB0-9354-F8C54EEC484F}"/>
              </c:ext>
            </c:extLst>
          </c:dPt>
          <c:dPt>
            <c:idx val="3"/>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bubble3D val="0"/>
            <c:spPr>
              <a:ln w="31750" cap="rnd">
                <a:solidFill>
                  <a:schemeClr val="accent1"/>
                </a:solidFill>
                <a:round/>
              </a:ln>
              <a:effectLst/>
            </c:spPr>
            <c:extLst>
              <c:ext xmlns:c16="http://schemas.microsoft.com/office/drawing/2014/chart" uri="{C3380CC4-5D6E-409C-BE32-E72D297353CC}">
                <c16:uniqueId val="{00000003-188F-4FB0-9354-F8C54EEC484F}"/>
              </c:ext>
            </c:extLst>
          </c:dPt>
          <c:dLbls>
            <c:dLbl>
              <c:idx val="0"/>
              <c:layout>
                <c:manualLayout>
                  <c:x val="2.8612303290414878E-3"/>
                  <c:y val="-2.797202797202799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188F-4FB0-9354-F8C54EEC484F}"/>
                </c:ext>
              </c:extLst>
            </c:dLbl>
            <c:dLbl>
              <c:idx val="1"/>
              <c:layout>
                <c:manualLayout>
                  <c:x val="-2.8612303290415928E-3"/>
                  <c:y val="-3.729603729603733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188F-4FB0-9354-F8C54EEC484F}"/>
                </c:ext>
              </c:extLst>
            </c:dLbl>
            <c:dLbl>
              <c:idx val="2"/>
              <c:layout>
                <c:manualLayout>
                  <c:x val="0"/>
                  <c:y val="-3.263403263403267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188F-4FB0-9354-F8C54EEC484F}"/>
                </c:ext>
              </c:extLst>
            </c:dLbl>
            <c:dLbl>
              <c:idx val="3"/>
              <c:layout>
                <c:manualLayout>
                  <c:x val="0"/>
                  <c:y val="-4.662004662004670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188F-4FB0-9354-F8C54EEC484F}"/>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'Avg. Age by Chronic Diagnosis'!$A$4:$A$8</c:f>
              <c:strCache>
                <c:ptCount val="4"/>
                <c:pt idx="0">
                  <c:v>Fibromyalgia</c:v>
                </c:pt>
                <c:pt idx="1">
                  <c:v>Hypertension</c:v>
                </c:pt>
                <c:pt idx="2">
                  <c:v>None</c:v>
                </c:pt>
                <c:pt idx="3">
                  <c:v>Unknown until health history done</c:v>
                </c:pt>
              </c:strCache>
            </c:strRef>
          </c:cat>
          <c:val>
            <c:numRef>
              <c:f>'Avg. Age by Chronic Diagnosis'!$B$4:$B$8</c:f>
              <c:numCache>
                <c:formatCode>0.0</c:formatCode>
                <c:ptCount val="4"/>
                <c:pt idx="0">
                  <c:v>69</c:v>
                </c:pt>
                <c:pt idx="1">
                  <c:v>56</c:v>
                </c:pt>
                <c:pt idx="2">
                  <c:v>55.428571428571431</c:v>
                </c:pt>
                <c:pt idx="3">
                  <c:v>45.6</c:v>
                </c:pt>
              </c:numCache>
            </c:numRef>
          </c:val>
          <c:smooth val="0"/>
          <c:extLst>
            <c:ext xmlns:c16="http://schemas.microsoft.com/office/drawing/2014/chart" uri="{C3380CC4-5D6E-409C-BE32-E72D297353CC}">
              <c16:uniqueId val="{00000004-188F-4FB0-9354-F8C54EEC484F}"/>
            </c:ext>
          </c:extLst>
        </c:ser>
        <c:dLbls>
          <c:showLegendKey val="0"/>
          <c:showVal val="0"/>
          <c:showCatName val="0"/>
          <c:showSerName val="0"/>
          <c:showPercent val="0"/>
          <c:showBubbleSize val="0"/>
        </c:dLbls>
        <c:marker val="1"/>
        <c:smooth val="0"/>
        <c:axId val="144734128"/>
        <c:axId val="144729808"/>
      </c:lineChart>
      <c:catAx>
        <c:axId val="144734128"/>
        <c:scaling>
          <c:orientation val="minMax"/>
        </c:scaling>
        <c:delete val="0"/>
        <c:axPos val="b"/>
        <c:title>
          <c:tx>
            <c:rich>
              <a:bodyPr rot="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r>
                  <a:rPr lang="en-US" sz="1000">
                    <a:solidFill>
                      <a:sysClr val="windowText" lastClr="000000"/>
                    </a:solidFill>
                  </a:rPr>
                  <a:t>Condition Name</a:t>
                </a:r>
              </a:p>
            </c:rich>
          </c:tx>
          <c:overlay val="0"/>
          <c:spPr>
            <a:noFill/>
            <a:ln>
              <a:noFill/>
            </a:ln>
            <a:effectLst/>
          </c:spPr>
          <c:txPr>
            <a:bodyPr rot="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44729808"/>
        <c:crosses val="autoZero"/>
        <c:auto val="1"/>
        <c:lblAlgn val="ctr"/>
        <c:lblOffset val="100"/>
        <c:noMultiLvlLbl val="0"/>
      </c:catAx>
      <c:valAx>
        <c:axId val="144729808"/>
        <c:scaling>
          <c:orientation val="minMax"/>
        </c:scaling>
        <c:delete val="0"/>
        <c:axPos val="l"/>
        <c:majorGridlines>
          <c:spPr>
            <a:ln w="9525" cap="flat" cmpd="sng" algn="ctr">
              <a:solidFill>
                <a:schemeClr val="tx2">
                  <a:lumMod val="15000"/>
                  <a:lumOff val="85000"/>
                </a:schemeClr>
              </a:solidFill>
              <a:round/>
            </a:ln>
            <a:effectLst/>
          </c:spPr>
        </c:majorGridlines>
        <c:title>
          <c:tx>
            <c:rich>
              <a:bodyPr rot="-540000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r>
                  <a:rPr lang="en-US" sz="1000">
                    <a:solidFill>
                      <a:sysClr val="windowText" lastClr="000000"/>
                    </a:solidFill>
                  </a:rPr>
                  <a:t>Age of Patient</a:t>
                </a:r>
              </a:p>
            </c:rich>
          </c:tx>
          <c:layout>
            <c:manualLayout>
              <c:xMode val="edge"/>
              <c:yMode val="edge"/>
              <c:x val="2.575107296137339E-2"/>
              <c:y val="0.30598278362057885"/>
            </c:manualLayout>
          </c:layout>
          <c:overlay val="0"/>
          <c:spPr>
            <a:noFill/>
            <a:ln>
              <a:noFill/>
            </a:ln>
            <a:effectLst/>
          </c:spPr>
          <c:txPr>
            <a:bodyPr rot="-540000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US"/>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447341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[ACCHD TB Data.xlsx]Newly vs.Chronic Diagnosis Type!PivotTable2</c:name>
    <c:fmtId val="6"/>
  </c:pivotSource>
  <c:chart>
    <c:title>
      <c:tx>
        <c:rich>
          <a:bodyPr rot="0" spcFirstLastPara="1" vertOverflow="ellipsis" vert="horz" wrap="square" anchor="ctr" anchorCtr="1"/>
          <a:lstStyle/>
          <a:p>
            <a:pPr>
              <a:defRPr sz="1600" b="1" i="0" u="none" strike="noStrike" kern="1200" baseline="0">
                <a:solidFill>
                  <a:sysClr val="windowText" lastClr="000000"/>
                </a:solidFill>
                <a:latin typeface="+mn-lt"/>
                <a:ea typeface="+mn-ea"/>
                <a:cs typeface="+mn-cs"/>
              </a:defRPr>
            </a:pPr>
            <a:r>
              <a:rPr lang="en-US">
                <a:solidFill>
                  <a:sysClr val="windowText" lastClr="000000"/>
                </a:solidFill>
              </a:rPr>
              <a:t>Chronic Diagnoses by Newly Diagnosed Status</a:t>
            </a:r>
          </a:p>
        </c:rich>
      </c:tx>
      <c:overlay val="0"/>
      <c:spPr>
        <a:noFill/>
        <a:ln>
          <a:noFill/>
        </a:ln>
        <a:effectLst/>
      </c:spPr>
      <c:txPr>
        <a:bodyPr rot="0" spcFirstLastPara="1" vertOverflow="ellipsis" vert="horz" wrap="square" anchor="ctr" anchorCtr="1"/>
        <a:lstStyle/>
        <a:p>
          <a:pPr>
            <a:defRPr sz="1600" b="1" i="0" u="none" strike="noStrike" kern="1200" baseline="0">
              <a:solidFill>
                <a:sysClr val="windowText" lastClr="000000"/>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'Newly vs.Chronic Diagnosis Type'!$B$3:$B$4</c:f>
              <c:strCache>
                <c:ptCount val="1"/>
                <c:pt idx="0">
                  <c:v>No</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cat>
            <c:strRef>
              <c:f>'Newly vs.Chronic Diagnosis Type'!$A$5:$A$9</c:f>
              <c:strCache>
                <c:ptCount val="4"/>
                <c:pt idx="0">
                  <c:v>Fibromyalgia</c:v>
                </c:pt>
                <c:pt idx="1">
                  <c:v>Hypertension</c:v>
                </c:pt>
                <c:pt idx="2">
                  <c:v>None</c:v>
                </c:pt>
                <c:pt idx="3">
                  <c:v>Unknown until health history done</c:v>
                </c:pt>
              </c:strCache>
            </c:strRef>
          </c:cat>
          <c:val>
            <c:numRef>
              <c:f>'Newly vs.Chronic Diagnosis Type'!$B$5:$B$9</c:f>
              <c:numCache>
                <c:formatCode>General</c:formatCode>
                <c:ptCount val="4"/>
                <c:pt idx="0">
                  <c:v>1</c:v>
                </c:pt>
                <c:pt idx="1">
                  <c:v>3</c:v>
                </c:pt>
                <c:pt idx="2">
                  <c:v>12</c:v>
                </c:pt>
                <c:pt idx="3">
                  <c:v>5</c:v>
                </c:pt>
              </c:numCache>
            </c:numRef>
          </c:val>
          <c:extLst>
            <c:ext xmlns:c16="http://schemas.microsoft.com/office/drawing/2014/chart" uri="{C3380CC4-5D6E-409C-BE32-E72D297353CC}">
              <c16:uniqueId val="{00000000-0B02-4CC9-B616-BE3166E4CCD0}"/>
            </c:ext>
          </c:extLst>
        </c:ser>
        <c:ser>
          <c:idx val="1"/>
          <c:order val="1"/>
          <c:tx>
            <c:strRef>
              <c:f>'Newly vs.Chronic Diagnosis Type'!$C$3:$C$4</c:f>
              <c:strCache>
                <c:ptCount val="1"/>
                <c:pt idx="0">
                  <c:v>Yes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invertIfNegative val="0"/>
          <c:cat>
            <c:strRef>
              <c:f>'Newly vs.Chronic Diagnosis Type'!$A$5:$A$9</c:f>
              <c:strCache>
                <c:ptCount val="4"/>
                <c:pt idx="0">
                  <c:v>Fibromyalgia</c:v>
                </c:pt>
                <c:pt idx="1">
                  <c:v>Hypertension</c:v>
                </c:pt>
                <c:pt idx="2">
                  <c:v>None</c:v>
                </c:pt>
                <c:pt idx="3">
                  <c:v>Unknown until health history done</c:v>
                </c:pt>
              </c:strCache>
            </c:strRef>
          </c:cat>
          <c:val>
            <c:numRef>
              <c:f>'Newly vs.Chronic Diagnosis Type'!$C$5:$C$9</c:f>
              <c:numCache>
                <c:formatCode>General</c:formatCode>
                <c:ptCount val="4"/>
                <c:pt idx="2">
                  <c:v>2</c:v>
                </c:pt>
              </c:numCache>
            </c:numRef>
          </c:val>
          <c:extLst>
            <c:ext xmlns:c16="http://schemas.microsoft.com/office/drawing/2014/chart" uri="{C3380CC4-5D6E-409C-BE32-E72D297353CC}">
              <c16:uniqueId val="{00000003-F17E-427A-BF14-F610B539D0B1}"/>
            </c:ext>
          </c:extLst>
        </c:ser>
        <c:dLbls>
          <c:showLegendKey val="0"/>
          <c:showVal val="0"/>
          <c:showCatName val="0"/>
          <c:showSerName val="0"/>
          <c:showPercent val="0"/>
          <c:showBubbleSize val="0"/>
        </c:dLbls>
        <c:gapWidth val="100"/>
        <c:overlap val="-24"/>
        <c:axId val="144727888"/>
        <c:axId val="144736528"/>
      </c:barChart>
      <c:catAx>
        <c:axId val="144727888"/>
        <c:scaling>
          <c:orientation val="minMax"/>
        </c:scaling>
        <c:delete val="0"/>
        <c:axPos val="b"/>
        <c:title>
          <c:tx>
            <c:rich>
              <a:bodyPr rot="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r>
                  <a:rPr lang="en-US">
                    <a:solidFill>
                      <a:sysClr val="windowText" lastClr="000000"/>
                    </a:solidFill>
                  </a:rPr>
                  <a:t>Chronic Diagnosis</a:t>
                </a:r>
              </a:p>
            </c:rich>
          </c:tx>
          <c:overlay val="0"/>
          <c:spPr>
            <a:no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44736528"/>
        <c:crosses val="autoZero"/>
        <c:auto val="1"/>
        <c:lblAlgn val="ctr"/>
        <c:lblOffset val="100"/>
        <c:noMultiLvlLbl val="0"/>
      </c:catAx>
      <c:valAx>
        <c:axId val="144736528"/>
        <c:scaling>
          <c:orientation val="minMax"/>
        </c:scaling>
        <c:delete val="0"/>
        <c:axPos val="l"/>
        <c:majorGridlines>
          <c:spPr>
            <a:ln w="9525" cap="flat" cmpd="sng" algn="ctr">
              <a:solidFill>
                <a:schemeClr val="tx2">
                  <a:lumMod val="15000"/>
                  <a:lumOff val="85000"/>
                </a:schemeClr>
              </a:solidFill>
              <a:round/>
            </a:ln>
            <a:effectLst/>
          </c:spPr>
        </c:majorGridlines>
        <c:title>
          <c:tx>
            <c:rich>
              <a:bodyPr rot="-54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r>
                  <a:rPr lang="en-US">
                    <a:solidFill>
                      <a:sysClr val="windowText" lastClr="000000"/>
                    </a:solidFill>
                  </a:rPr>
                  <a:t>Number of Patients</a:t>
                </a:r>
              </a:p>
            </c:rich>
          </c:tx>
          <c:layout>
            <c:manualLayout>
              <c:xMode val="edge"/>
              <c:yMode val="edge"/>
              <c:x val="2.5000000000000001E-2"/>
              <c:y val="0.28138086905803439"/>
            </c:manualLayout>
          </c:layout>
          <c:overlay val="0"/>
          <c:spPr>
            <a:noFill/>
            <a:ln>
              <a:noFill/>
            </a:ln>
            <a:effectLst/>
          </c:spPr>
          <c:txPr>
            <a:bodyPr rot="-54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447278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[ACCHD TB Data.xlsx]Visit Type Distribution!PivotTable1</c:name>
    <c:fmtId val="4"/>
  </c:pivotSource>
  <c:chart>
    <c:title>
      <c:tx>
        <c:rich>
          <a:bodyPr rot="0" spcFirstLastPara="1" vertOverflow="ellipsis" vert="horz" wrap="square" anchor="ctr" anchorCtr="1"/>
          <a:lstStyle/>
          <a:p>
            <a:pPr>
              <a:defRPr sz="1600" b="1" i="0" u="none" strike="noStrike" kern="1200" baseline="0">
                <a:solidFill>
                  <a:sysClr val="windowText" lastClr="000000"/>
                </a:solidFill>
                <a:latin typeface="+mn-lt"/>
                <a:ea typeface="+mn-ea"/>
                <a:cs typeface="+mn-cs"/>
              </a:defRPr>
            </a:pPr>
            <a:r>
              <a:rPr lang="en-US">
                <a:solidFill>
                  <a:sysClr val="windowText" lastClr="000000"/>
                </a:solidFill>
              </a:rPr>
              <a:t>Distribution of Visit Type</a:t>
            </a:r>
          </a:p>
        </c:rich>
      </c:tx>
      <c:overlay val="0"/>
      <c:spPr>
        <a:noFill/>
        <a:ln>
          <a:noFill/>
        </a:ln>
        <a:effectLst/>
      </c:spPr>
      <c:txPr>
        <a:bodyPr rot="0" spcFirstLastPara="1" vertOverflow="ellipsis" vert="horz" wrap="square" anchor="ctr" anchorCtr="1"/>
        <a:lstStyle/>
        <a:p>
          <a:pPr>
            <a:defRPr sz="1600" b="1" i="0" u="none" strike="noStrike" kern="1200" baseline="0">
              <a:solidFill>
                <a:sysClr val="windowText" lastClr="000000"/>
              </a:solidFill>
              <a:latin typeface="+mn-lt"/>
              <a:ea typeface="+mn-ea"/>
              <a:cs typeface="+mn-cs"/>
            </a:defRPr>
          </a:pPr>
          <a:endParaRPr lang="en-US"/>
        </a:p>
      </c:txPr>
    </c:title>
    <c:autoTitleDeleted val="0"/>
    <c:pivotFmts>
      <c:pivotFmt>
        <c:idx val="0"/>
        <c:dLbl>
          <c:idx val="0"/>
          <c:showLegendKey val="0"/>
          <c:showVal val="1"/>
          <c:showCatName val="0"/>
          <c:showSerName val="0"/>
          <c:showPercent val="1"/>
          <c:showBubbleSize val="0"/>
          <c:extLst>
            <c:ext xmlns:c15="http://schemas.microsoft.com/office/drawing/2012/chart" uri="{CE6537A1-D6FC-4f65-9D91-7224C49458BB}"/>
          </c:extLst>
        </c:dLbl>
      </c:pivotFmt>
      <c:pivotFmt>
        <c:idx val="1"/>
        <c:dLbl>
          <c:idx val="0"/>
          <c:layout>
            <c:manualLayout>
              <c:x val="3.3333333333333333E-2"/>
              <c:y val="-4.1666666666666664E-2"/>
            </c:manualLayout>
          </c:layout>
          <c:showLegendKey val="0"/>
          <c:showVal val="1"/>
          <c:showCatName val="0"/>
          <c:showSerName val="0"/>
          <c:showPercent val="1"/>
          <c:showBubbleSize val="0"/>
          <c:extLst>
            <c:ext xmlns:c15="http://schemas.microsoft.com/office/drawing/2012/chart" uri="{CE6537A1-D6FC-4f65-9D91-7224C49458BB}"/>
          </c:extLst>
        </c:dLbl>
      </c:pivotFmt>
      <c:pivotFmt>
        <c:idx val="2"/>
        <c:dLbl>
          <c:idx val="0"/>
          <c:layout>
            <c:manualLayout>
              <c:x val="4.7222222222222221E-2"/>
              <c:y val="4.6296296296296294E-2"/>
            </c:manualLayout>
          </c:layout>
          <c:showLegendKey val="0"/>
          <c:showVal val="1"/>
          <c:showCatName val="0"/>
          <c:showSerName val="0"/>
          <c:showPercent val="1"/>
          <c:showBubbleSize val="0"/>
          <c:extLst>
            <c:ext xmlns:c15="http://schemas.microsoft.com/office/drawing/2012/chart" uri="{CE6537A1-D6FC-4f65-9D91-7224C49458BB}"/>
          </c:extLst>
        </c:dLbl>
      </c:pivotFmt>
      <c:pivotFmt>
        <c:idx val="3"/>
        <c:dLbl>
          <c:idx val="0"/>
          <c:layout>
            <c:manualLayout>
              <c:x val="2.5000000000000001E-2"/>
              <c:y val="6.0185185185185182E-2"/>
            </c:manualLayout>
          </c:layout>
          <c:showLegendKey val="0"/>
          <c:showVal val="1"/>
          <c:showCatName val="0"/>
          <c:showSerName val="0"/>
          <c:showPercent val="1"/>
          <c:showBubbleSize val="0"/>
          <c:extLst>
            <c:ext xmlns:c15="http://schemas.microsoft.com/office/drawing/2012/chart" uri="{CE6537A1-D6FC-4f65-9D91-7224C49458BB}"/>
          </c:extLst>
        </c:dLbl>
      </c:pivotFmt>
      <c:pivotFmt>
        <c:idx val="4"/>
        <c:dLbl>
          <c:idx val="0"/>
          <c:layout>
            <c:manualLayout>
              <c:x val="-1.3888888888888888E-2"/>
              <c:y val="5.0925925925925923E-2"/>
            </c:manualLayout>
          </c:layout>
          <c:showLegendKey val="0"/>
          <c:showVal val="1"/>
          <c:showCatName val="0"/>
          <c:showSerName val="0"/>
          <c:showPercent val="1"/>
          <c:showBubbleSize val="0"/>
          <c:extLst>
            <c:ext xmlns:c15="http://schemas.microsoft.com/office/drawing/2012/chart" uri="{CE6537A1-D6FC-4f65-9D91-7224C49458BB}"/>
          </c:extLst>
        </c:dLbl>
      </c:pivotFmt>
      <c:pivotFmt>
        <c:idx val="5"/>
        <c:dLbl>
          <c:idx val="0"/>
          <c:layout>
            <c:manualLayout>
              <c:x val="-5.2777777777777792E-2"/>
              <c:y val="2.7777777777777776E-2"/>
            </c:manualLayout>
          </c:layout>
          <c:showLegendKey val="0"/>
          <c:showVal val="1"/>
          <c:showCatName val="0"/>
          <c:showSerName val="0"/>
          <c:showPercent val="1"/>
          <c:showBubbleSize val="0"/>
          <c:extLst>
            <c:ext xmlns:c15="http://schemas.microsoft.com/office/drawing/2012/chart" uri="{CE6537A1-D6FC-4f65-9D91-7224C49458BB}"/>
          </c:extLst>
        </c:dLbl>
      </c:pivotFmt>
      <c:pivotFmt>
        <c:idx val="6"/>
        <c:dLbl>
          <c:idx val="0"/>
          <c:layout>
            <c:manualLayout>
              <c:x val="-5.5555555555555566E-2"/>
              <c:y val="-1.3888888888888888E-2"/>
            </c:manualLayout>
          </c:layout>
          <c:showLegendKey val="0"/>
          <c:showVal val="1"/>
          <c:showCatName val="0"/>
          <c:showSerName val="0"/>
          <c:showPercent val="1"/>
          <c:showBubbleSize val="0"/>
          <c:extLst>
            <c:ext xmlns:c15="http://schemas.microsoft.com/office/drawing/2012/chart" uri="{CE6537A1-D6FC-4f65-9D91-7224C49458BB}"/>
          </c:extLst>
        </c:dLbl>
      </c:pivotFmt>
      <c:pivotFmt>
        <c:idx val="7"/>
        <c:dLbl>
          <c:idx val="0"/>
          <c:layout>
            <c:manualLayout>
              <c:x val="-3.6111111111111135E-2"/>
              <c:y val="-4.6296296296296294E-2"/>
            </c:manualLayout>
          </c:layout>
          <c:showLegendKey val="0"/>
          <c:showVal val="1"/>
          <c:showCatName val="0"/>
          <c:showSerName val="0"/>
          <c:showPercent val="1"/>
          <c:showBubbleSize val="0"/>
          <c:extLst>
            <c:ext xmlns:c15="http://schemas.microsoft.com/office/drawing/2012/chart" uri="{CE6537A1-D6FC-4f65-9D91-7224C49458BB}"/>
          </c:extLst>
        </c:dLbl>
      </c:pivotFmt>
      <c:pivotFmt>
        <c:idx val="8"/>
        <c:dLbl>
          <c:idx val="0"/>
          <c:showLegendKey val="0"/>
          <c:showVal val="1"/>
          <c:showCatName val="0"/>
          <c:showSerName val="0"/>
          <c:showPercent val="1"/>
          <c:showBubbleSize val="0"/>
          <c:extLst>
            <c:ext xmlns:c15="http://schemas.microsoft.com/office/drawing/2012/chart" uri="{CE6537A1-D6FC-4f65-9D91-7224C49458BB}"/>
          </c:extLst>
        </c:dLbl>
      </c:pivotFmt>
      <c:pivotFmt>
        <c:idx val="9"/>
        <c:dLbl>
          <c:idx val="0"/>
          <c:layout>
            <c:manualLayout>
              <c:x val="3.3333333333333333E-2"/>
              <c:y val="-4.1666666666666664E-2"/>
            </c:manualLayout>
          </c:layout>
          <c:showLegendKey val="0"/>
          <c:showVal val="1"/>
          <c:showCatName val="0"/>
          <c:showSerName val="0"/>
          <c:showPercent val="1"/>
          <c:showBubbleSize val="0"/>
          <c:extLst>
            <c:ext xmlns:c15="http://schemas.microsoft.com/office/drawing/2012/chart" uri="{CE6537A1-D6FC-4f65-9D91-7224C49458BB}"/>
          </c:extLst>
        </c:dLbl>
      </c:pivotFmt>
      <c:pivotFmt>
        <c:idx val="10"/>
        <c:dLbl>
          <c:idx val="0"/>
          <c:layout>
            <c:manualLayout>
              <c:x val="4.7222222222222221E-2"/>
              <c:y val="4.6296296296296294E-2"/>
            </c:manualLayout>
          </c:layout>
          <c:showLegendKey val="0"/>
          <c:showVal val="1"/>
          <c:showCatName val="0"/>
          <c:showSerName val="0"/>
          <c:showPercent val="1"/>
          <c:showBubbleSize val="0"/>
          <c:extLst>
            <c:ext xmlns:c15="http://schemas.microsoft.com/office/drawing/2012/chart" uri="{CE6537A1-D6FC-4f65-9D91-7224C49458BB}"/>
          </c:extLst>
        </c:dLbl>
      </c:pivotFmt>
      <c:pivotFmt>
        <c:idx val="11"/>
        <c:dLbl>
          <c:idx val="0"/>
          <c:layout>
            <c:manualLayout>
              <c:x val="2.5000000000000001E-2"/>
              <c:y val="6.0185185185185182E-2"/>
            </c:manualLayout>
          </c:layout>
          <c:showLegendKey val="0"/>
          <c:showVal val="1"/>
          <c:showCatName val="0"/>
          <c:showSerName val="0"/>
          <c:showPercent val="1"/>
          <c:showBubbleSize val="0"/>
          <c:extLst>
            <c:ext xmlns:c15="http://schemas.microsoft.com/office/drawing/2012/chart" uri="{CE6537A1-D6FC-4f65-9D91-7224C49458BB}"/>
          </c:extLst>
        </c:dLbl>
      </c:pivotFmt>
      <c:pivotFmt>
        <c:idx val="12"/>
        <c:dLbl>
          <c:idx val="0"/>
          <c:layout>
            <c:manualLayout>
              <c:x val="-1.3888888888888888E-2"/>
              <c:y val="5.0925925925925923E-2"/>
            </c:manualLayout>
          </c:layout>
          <c:showLegendKey val="0"/>
          <c:showVal val="1"/>
          <c:showCatName val="0"/>
          <c:showSerName val="0"/>
          <c:showPercent val="1"/>
          <c:showBubbleSize val="0"/>
          <c:extLst>
            <c:ext xmlns:c15="http://schemas.microsoft.com/office/drawing/2012/chart" uri="{CE6537A1-D6FC-4f65-9D91-7224C49458BB}"/>
          </c:extLst>
        </c:dLbl>
      </c:pivotFmt>
      <c:pivotFmt>
        <c:idx val="13"/>
        <c:dLbl>
          <c:idx val="0"/>
          <c:layout>
            <c:manualLayout>
              <c:x val="-5.2777777777777792E-2"/>
              <c:y val="2.7777777777777776E-2"/>
            </c:manualLayout>
          </c:layout>
          <c:showLegendKey val="0"/>
          <c:showVal val="1"/>
          <c:showCatName val="0"/>
          <c:showSerName val="0"/>
          <c:showPercent val="1"/>
          <c:showBubbleSize val="0"/>
          <c:extLst>
            <c:ext xmlns:c15="http://schemas.microsoft.com/office/drawing/2012/chart" uri="{CE6537A1-D6FC-4f65-9D91-7224C49458BB}"/>
          </c:extLst>
        </c:dLbl>
      </c:pivotFmt>
      <c:pivotFmt>
        <c:idx val="14"/>
        <c:dLbl>
          <c:idx val="0"/>
          <c:layout>
            <c:manualLayout>
              <c:x val="-5.5555555555555566E-2"/>
              <c:y val="-1.3888888888888888E-2"/>
            </c:manualLayout>
          </c:layout>
          <c:showLegendKey val="0"/>
          <c:showVal val="1"/>
          <c:showCatName val="0"/>
          <c:showSerName val="0"/>
          <c:showPercent val="1"/>
          <c:showBubbleSize val="0"/>
          <c:extLst>
            <c:ext xmlns:c15="http://schemas.microsoft.com/office/drawing/2012/chart" uri="{CE6537A1-D6FC-4f65-9D91-7224C49458BB}"/>
          </c:extLst>
        </c:dLbl>
      </c:pivotFmt>
      <c:pivotFmt>
        <c:idx val="15"/>
        <c:dLbl>
          <c:idx val="0"/>
          <c:layout>
            <c:manualLayout>
              <c:x val="-3.6111111111111135E-2"/>
              <c:y val="-4.6296296296296294E-2"/>
            </c:manualLayout>
          </c:layout>
          <c:showLegendKey val="0"/>
          <c:showVal val="1"/>
          <c:showCatName val="0"/>
          <c:showSerName val="0"/>
          <c:showPercent val="1"/>
          <c:showBubbleSize val="0"/>
          <c:extLst>
            <c:ext xmlns:c15="http://schemas.microsoft.com/office/drawing/2012/chart" uri="{CE6537A1-D6FC-4f65-9D91-7224C49458BB}"/>
          </c:extLst>
        </c:dLbl>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layout>
            <c:manualLayout>
              <c:x val="3.3333333333333333E-2"/>
              <c:y val="-4.166666666666666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layout>
            <c:manualLayout>
              <c:x val="5.0245928454319785E-2"/>
              <c:y val="5.1028925893933173E-2"/>
            </c:manualLayout>
          </c:layout>
          <c:spPr>
            <a:solidFill>
              <a:sysClr val="window" lastClr="FFFFFF"/>
            </a:solidFill>
            <a:ln w="9525" cap="flat" cmpd="sng" algn="ctr">
              <a:solidFill>
                <a:sysClr val="windowText" lastClr="000000">
                  <a:lumMod val="25000"/>
                  <a:lumOff val="75000"/>
                </a:sysClr>
              </a:solidFill>
              <a:prstDash val="solid"/>
              <a:round/>
              <a:headEnd type="none" w="med" len="med"/>
              <a:tailEnd type="none" w="med" len="med"/>
              <a:extLst>
                <a:ext uri="{C807C97D-BFC1-408E-A445-0C87EB9F89A2}">
                  <ask:lineSketchStyleProps xmlns:ask="http://schemas.microsoft.com/office/drawing/2018/sketchyshapes" sd="0">
                    <a:custGeom>
                      <a:avLst/>
                      <a:gdLst/>
                      <a:ahLst/>
                      <a:cxnLst/>
                      <a:rect l="0" t="0" r="0" b="0"/>
                      <a:pathLst/>
                    </a:custGeom>
                    <ask:type/>
                  </ask:lineSketchStyleProps>
                </a:ext>
              </a:extLst>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gd name="adj1" fmla="val -82075"/>
                    <a:gd name="adj2" fmla="val -85318"/>
                  </a:avLst>
                </a:prstGeom>
                <a:noFill/>
                <a:ln>
                  <a:noFill/>
                </a:ln>
              </c15:spPr>
            </c:ext>
          </c:extLst>
        </c:dLbl>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layout>
            <c:manualLayout>
              <c:x val="2.5000000000000001E-2"/>
              <c:y val="6.0185185185185182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layout>
            <c:manualLayout>
              <c:x val="-1.3888888888888888E-2"/>
              <c:y val="5.0925925925925923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layout>
            <c:manualLayout>
              <c:x val="-5.2777777777777792E-2"/>
              <c:y val="2.7777777777777776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layout>
            <c:manualLayout>
              <c:x val="-5.5555555555555566E-2"/>
              <c:y val="-1.3888888888888888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layout>
            <c:manualLayout>
              <c:x val="-3.6111111111111135E-2"/>
              <c:y val="-4.629629629629629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doughnutChart>
        <c:varyColors val="1"/>
        <c:ser>
          <c:idx val="0"/>
          <c:order val="0"/>
          <c:tx>
            <c:strRef>
              <c:f>'Visit Type Distribution'!$B$3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extLst>
              <c:ext xmlns:c16="http://schemas.microsoft.com/office/drawing/2014/chart" uri="{C3380CC4-5D6E-409C-BE32-E72D297353CC}">
                <c16:uniqueId val="{00000001-0E68-4F0F-BB6F-49C3731EA312}"/>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extLst>
              <c:ext xmlns:c16="http://schemas.microsoft.com/office/drawing/2014/chart" uri="{C3380CC4-5D6E-409C-BE32-E72D297353CC}">
                <c16:uniqueId val="{00000003-0E68-4F0F-BB6F-49C3731EA312}"/>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extLst>
              <c:ext xmlns:c16="http://schemas.microsoft.com/office/drawing/2014/chart" uri="{C3380CC4-5D6E-409C-BE32-E72D297353CC}">
                <c16:uniqueId val="{00000005-0E68-4F0F-BB6F-49C3731EA312}"/>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extLst>
              <c:ext xmlns:c16="http://schemas.microsoft.com/office/drawing/2014/chart" uri="{C3380CC4-5D6E-409C-BE32-E72D297353CC}">
                <c16:uniqueId val="{00000007-0E68-4F0F-BB6F-49C3731EA312}"/>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c:spPr>
            <c:extLst>
              <c:ext xmlns:c16="http://schemas.microsoft.com/office/drawing/2014/chart" uri="{C3380CC4-5D6E-409C-BE32-E72D297353CC}">
                <c16:uniqueId val="{00000009-0E68-4F0F-BB6F-49C3731EA312}"/>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extLst>
              <c:ext xmlns:c16="http://schemas.microsoft.com/office/drawing/2014/chart" uri="{C3380CC4-5D6E-409C-BE32-E72D297353CC}">
                <c16:uniqueId val="{0000000B-0E68-4F0F-BB6F-49C3731EA312}"/>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c:spPr>
            <c:extLst>
              <c:ext xmlns:c16="http://schemas.microsoft.com/office/drawing/2014/chart" uri="{C3380CC4-5D6E-409C-BE32-E72D297353CC}">
                <c16:uniqueId val="{0000000D-0E68-4F0F-BB6F-49C3731EA312}"/>
              </c:ext>
            </c:extLst>
          </c:dPt>
          <c:dLbls>
            <c:dLbl>
              <c:idx val="0"/>
              <c:layout>
                <c:manualLayout>
                  <c:x val="3.3333333333333333E-2"/>
                  <c:y val="-4.1666666666666664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0E68-4F0F-BB6F-49C3731EA312}"/>
                </c:ext>
              </c:extLst>
            </c:dLbl>
            <c:dLbl>
              <c:idx val="1"/>
              <c:layout>
                <c:manualLayout>
                  <c:x val="5.0245928454319785E-2"/>
                  <c:y val="5.1028925893933173E-2"/>
                </c:manualLayout>
              </c:layout>
              <c:spPr>
                <a:solidFill>
                  <a:sysClr val="window" lastClr="FFFFFF"/>
                </a:solidFill>
                <a:ln w="9525" cap="flat" cmpd="sng" algn="ctr">
                  <a:solidFill>
                    <a:sysClr val="windowText" lastClr="000000">
                      <a:lumMod val="25000"/>
                      <a:lumOff val="75000"/>
                    </a:sysClr>
                  </a:solidFill>
                  <a:prstDash val="solid"/>
                  <a:round/>
                  <a:headEnd type="none" w="med" len="med"/>
                  <a:tailEnd type="none" w="med" len="med"/>
                  <a:extLst>
                    <a:ext uri="{C807C97D-BFC1-408E-A445-0C87EB9F89A2}">
                      <ask:lineSketchStyleProps xmlns:ask="http://schemas.microsoft.com/office/drawing/2018/sketchyshapes" sd="0">
                        <a:custGeom>
                          <a:avLst/>
                          <a:gdLst/>
                          <a:ahLst/>
                          <a:cxnLst/>
                          <a:rect l="0" t="0" r="0" b="0"/>
                          <a:pathLst/>
                        </a:custGeom>
                        <ask:type/>
                      </ask:lineSketchStyleProps>
                    </a:ext>
                  </a:extLst>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gd name="adj1" fmla="val -82075"/>
                        <a:gd name="adj2" fmla="val -85318"/>
                      </a:avLst>
                    </a:prstGeom>
                    <a:noFill/>
                    <a:ln>
                      <a:noFill/>
                    </a:ln>
                  </c15:spPr>
                </c:ext>
                <c:ext xmlns:c16="http://schemas.microsoft.com/office/drawing/2014/chart" uri="{C3380CC4-5D6E-409C-BE32-E72D297353CC}">
                  <c16:uniqueId val="{00000003-0E68-4F0F-BB6F-49C3731EA312}"/>
                </c:ext>
              </c:extLst>
            </c:dLbl>
            <c:dLbl>
              <c:idx val="2"/>
              <c:layout>
                <c:manualLayout>
                  <c:x val="2.5000000000000001E-2"/>
                  <c:y val="6.0185185185185182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0E68-4F0F-BB6F-49C3731EA312}"/>
                </c:ext>
              </c:extLst>
            </c:dLbl>
            <c:dLbl>
              <c:idx val="3"/>
              <c:layout>
                <c:manualLayout>
                  <c:x val="-1.3888888888888888E-2"/>
                  <c:y val="5.0925925925925923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7-0E68-4F0F-BB6F-49C3731EA312}"/>
                </c:ext>
              </c:extLst>
            </c:dLbl>
            <c:dLbl>
              <c:idx val="4"/>
              <c:layout>
                <c:manualLayout>
                  <c:x val="-5.2777777777777792E-2"/>
                  <c:y val="2.7777777777777776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9-0E68-4F0F-BB6F-49C3731EA312}"/>
                </c:ext>
              </c:extLst>
            </c:dLbl>
            <c:dLbl>
              <c:idx val="5"/>
              <c:layout>
                <c:manualLayout>
                  <c:x val="-5.5555555555555566E-2"/>
                  <c:y val="-1.3888888888888888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B-0E68-4F0F-BB6F-49C3731EA312}"/>
                </c:ext>
              </c:extLst>
            </c:dLbl>
            <c:dLbl>
              <c:idx val="6"/>
              <c:layout>
                <c:manualLayout>
                  <c:x val="-3.6111111111111135E-2"/>
                  <c:y val="-4.6296296296296294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D-0E68-4F0F-BB6F-49C3731EA312}"/>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'Visit Type Distribution'!$A$4:$A$11</c:f>
              <c:strCache>
                <c:ptCount val="7"/>
                <c:pt idx="0">
                  <c:v>DOT medication dosage</c:v>
                </c:pt>
                <c:pt idx="1">
                  <c:v>DOT medication start</c:v>
                </c:pt>
                <c:pt idx="2">
                  <c:v>Final DOT dosage</c:v>
                </c:pt>
                <c:pt idx="3">
                  <c:v>Health history/labs</c:v>
                </c:pt>
                <c:pt idx="4">
                  <c:v>Medication refill/labs</c:v>
                </c:pt>
                <c:pt idx="5">
                  <c:v>Medication start</c:v>
                </c:pt>
                <c:pt idx="6">
                  <c:v>TSPOT blood draw</c:v>
                </c:pt>
              </c:strCache>
            </c:strRef>
          </c:cat>
          <c:val>
            <c:numRef>
              <c:f>'Visit Type Distribution'!$B$4:$B$11</c:f>
              <c:numCache>
                <c:formatCode>General</c:formatCode>
                <c:ptCount val="7"/>
                <c:pt idx="0">
                  <c:v>8</c:v>
                </c:pt>
                <c:pt idx="1">
                  <c:v>1</c:v>
                </c:pt>
                <c:pt idx="2">
                  <c:v>3</c:v>
                </c:pt>
                <c:pt idx="3">
                  <c:v>3</c:v>
                </c:pt>
                <c:pt idx="4">
                  <c:v>2</c:v>
                </c:pt>
                <c:pt idx="5">
                  <c:v>1</c:v>
                </c:pt>
                <c:pt idx="6">
                  <c:v>5</c:v>
                </c:pt>
              </c:numCache>
            </c:numRef>
          </c:val>
          <c:extLst>
            <c:ext xmlns:c16="http://schemas.microsoft.com/office/drawing/2014/chart" uri="{C3380CC4-5D6E-409C-BE32-E72D297353CC}">
              <c16:uniqueId val="{0000000E-0E68-4F0F-BB6F-49C3731EA312}"/>
            </c:ext>
          </c:extLst>
        </c:ser>
        <c:dLbls>
          <c:showLegendKey val="0"/>
          <c:showVal val="0"/>
          <c:showCatName val="0"/>
          <c:showSerName val="0"/>
          <c:showPercent val="0"/>
          <c:showBubbleSize val="0"/>
          <c:showLeaderLines val="0"/>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5.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6.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3</xdr:col>
      <xdr:colOff>121856</xdr:colOff>
      <xdr:row>0</xdr:row>
      <xdr:rowOff>0</xdr:rowOff>
    </xdr:from>
    <xdr:to>
      <xdr:col>9</xdr:col>
      <xdr:colOff>382205</xdr:colOff>
      <xdr:row>13</xdr:row>
      <xdr:rowOff>63500</xdr:rowOff>
    </xdr:to>
    <xdr:graphicFrame macro="">
      <xdr:nvGraphicFramePr>
        <xdr:cNvPr id="2" name="Chart 1">
          <a:extLst>
            <a:ext uri="{FF2B5EF4-FFF2-40B4-BE49-F238E27FC236}">
              <a16:creationId xmlns:a16="http://schemas.microsoft.com/office/drawing/2014/main" id="{BC3E7862-A1F0-4609-B9E1-05A95474F14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388555</xdr:colOff>
      <xdr:row>0</xdr:row>
      <xdr:rowOff>0</xdr:rowOff>
    </xdr:from>
    <xdr:to>
      <xdr:col>16</xdr:col>
      <xdr:colOff>25320</xdr:colOff>
      <xdr:row>13</xdr:row>
      <xdr:rowOff>57150</xdr:rowOff>
    </xdr:to>
    <xdr:graphicFrame macro="">
      <xdr:nvGraphicFramePr>
        <xdr:cNvPr id="3" name="Chart 2">
          <a:extLst>
            <a:ext uri="{FF2B5EF4-FFF2-40B4-BE49-F238E27FC236}">
              <a16:creationId xmlns:a16="http://schemas.microsoft.com/office/drawing/2014/main" id="{43B8266E-38F7-4B9D-ACAA-AD6BA00A50C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112531</xdr:colOff>
      <xdr:row>13</xdr:row>
      <xdr:rowOff>63500</xdr:rowOff>
    </xdr:from>
    <xdr:to>
      <xdr:col>9</xdr:col>
      <xdr:colOff>398280</xdr:colOff>
      <xdr:row>27</xdr:row>
      <xdr:rowOff>120650</xdr:rowOff>
    </xdr:to>
    <xdr:graphicFrame macro="">
      <xdr:nvGraphicFramePr>
        <xdr:cNvPr id="4" name="Chart 3">
          <a:extLst>
            <a:ext uri="{FF2B5EF4-FFF2-40B4-BE49-F238E27FC236}">
              <a16:creationId xmlns:a16="http://schemas.microsoft.com/office/drawing/2014/main" id="{8841414F-E4F7-4E1C-B675-A116181F780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388555</xdr:colOff>
      <xdr:row>13</xdr:row>
      <xdr:rowOff>53774</xdr:rowOff>
    </xdr:from>
    <xdr:to>
      <xdr:col>16</xdr:col>
      <xdr:colOff>44370</xdr:colOff>
      <xdr:row>27</xdr:row>
      <xdr:rowOff>110924</xdr:rowOff>
    </xdr:to>
    <xdr:graphicFrame macro="">
      <xdr:nvGraphicFramePr>
        <xdr:cNvPr id="5" name="Chart 4">
          <a:extLst>
            <a:ext uri="{FF2B5EF4-FFF2-40B4-BE49-F238E27FC236}">
              <a16:creationId xmlns:a16="http://schemas.microsoft.com/office/drawing/2014/main" id="{EE876E22-98F5-407B-9F3D-364794F8695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23632</xdr:colOff>
      <xdr:row>0</xdr:row>
      <xdr:rowOff>8038</xdr:rowOff>
    </xdr:from>
    <xdr:to>
      <xdr:col>22</xdr:col>
      <xdr:colOff>564667</xdr:colOff>
      <xdr:row>13</xdr:row>
      <xdr:rowOff>58838</xdr:rowOff>
    </xdr:to>
    <xdr:graphicFrame macro="">
      <xdr:nvGraphicFramePr>
        <xdr:cNvPr id="6" name="Chart 5">
          <a:extLst>
            <a:ext uri="{FF2B5EF4-FFF2-40B4-BE49-F238E27FC236}">
              <a16:creationId xmlns:a16="http://schemas.microsoft.com/office/drawing/2014/main" id="{EF3A71DA-1854-489D-B17D-19FCEE4F346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16</xdr:col>
      <xdr:colOff>38019</xdr:colOff>
      <xdr:row>13</xdr:row>
      <xdr:rowOff>58838</xdr:rowOff>
    </xdr:from>
    <xdr:to>
      <xdr:col>22</xdr:col>
      <xdr:colOff>572704</xdr:colOff>
      <xdr:row>27</xdr:row>
      <xdr:rowOff>154088</xdr:rowOff>
    </xdr:to>
    <xdr:graphicFrame macro="">
      <xdr:nvGraphicFramePr>
        <xdr:cNvPr id="7" name="Chart 6">
          <a:extLst>
            <a:ext uri="{FF2B5EF4-FFF2-40B4-BE49-F238E27FC236}">
              <a16:creationId xmlns:a16="http://schemas.microsoft.com/office/drawing/2014/main" id="{32272247-7080-4659-9692-FA4A28186EC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0</xdr:colOff>
      <xdr:row>2</xdr:row>
      <xdr:rowOff>98545</xdr:rowOff>
    </xdr:from>
    <xdr:to>
      <xdr:col>2</xdr:col>
      <xdr:colOff>607028</xdr:colOff>
      <xdr:row>11</xdr:row>
      <xdr:rowOff>176835</xdr:rowOff>
    </xdr:to>
    <mc:AlternateContent xmlns:mc="http://schemas.openxmlformats.org/markup-compatibility/2006" xmlns:a14="http://schemas.microsoft.com/office/drawing/2010/main">
      <mc:Choice Requires="a14">
        <xdr:graphicFrame macro="">
          <xdr:nvGraphicFramePr>
            <xdr:cNvPr id="8" name="Age Group">
              <a:extLst>
                <a:ext uri="{FF2B5EF4-FFF2-40B4-BE49-F238E27FC236}">
                  <a16:creationId xmlns:a16="http://schemas.microsoft.com/office/drawing/2014/main" id="{677F17F2-6D50-D05C-EF84-CF3678555F77}"/>
                </a:ext>
              </a:extLst>
            </xdr:cNvPr>
            <xdr:cNvGraphicFramePr/>
          </xdr:nvGraphicFramePr>
          <xdr:xfrm>
            <a:off x="0" y="0"/>
            <a:ext cx="0" cy="0"/>
          </xdr:xfrm>
          <a:graphic>
            <a:graphicData uri="http://schemas.microsoft.com/office/drawing/2010/slicer">
              <sle:slicer xmlns:sle="http://schemas.microsoft.com/office/drawing/2010/slicer" name="Age Group"/>
            </a:graphicData>
          </a:graphic>
        </xdr:graphicFrame>
      </mc:Choice>
      <mc:Fallback xmlns="">
        <xdr:sp macro="" textlink="">
          <xdr:nvSpPr>
            <xdr:cNvPr id="0" name=""/>
            <xdr:cNvSpPr>
              <a:spLocks noTextEdit="1"/>
            </xdr:cNvSpPr>
          </xdr:nvSpPr>
          <xdr:spPr>
            <a:xfrm>
              <a:off x="0" y="468292"/>
              <a:ext cx="1828800" cy="174215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4180</xdr:colOff>
      <xdr:row>16</xdr:row>
      <xdr:rowOff>116632</xdr:rowOff>
    </xdr:from>
    <xdr:to>
      <xdr:col>3</xdr:col>
      <xdr:colOff>322</xdr:colOff>
      <xdr:row>24</xdr:row>
      <xdr:rowOff>96456</xdr:rowOff>
    </xdr:to>
    <mc:AlternateContent xmlns:mc="http://schemas.openxmlformats.org/markup-compatibility/2006" xmlns:a14="http://schemas.microsoft.com/office/drawing/2010/main">
      <mc:Choice Requires="a14">
        <xdr:graphicFrame macro="">
          <xdr:nvGraphicFramePr>
            <xdr:cNvPr id="9" name="Chronic Diagnosis">
              <a:extLst>
                <a:ext uri="{FF2B5EF4-FFF2-40B4-BE49-F238E27FC236}">
                  <a16:creationId xmlns:a16="http://schemas.microsoft.com/office/drawing/2014/main" id="{0041968C-E92D-F3B6-F208-60024CDEF8FD}"/>
                </a:ext>
              </a:extLst>
            </xdr:cNvPr>
            <xdr:cNvGraphicFramePr/>
          </xdr:nvGraphicFramePr>
          <xdr:xfrm>
            <a:off x="0" y="0"/>
            <a:ext cx="0" cy="0"/>
          </xdr:xfrm>
          <a:graphic>
            <a:graphicData uri="http://schemas.microsoft.com/office/drawing/2010/slicer">
              <sle:slicer xmlns:sle="http://schemas.microsoft.com/office/drawing/2010/slicer" name="Chronic Diagnosis"/>
            </a:graphicData>
          </a:graphic>
        </xdr:graphicFrame>
      </mc:Choice>
      <mc:Fallback xmlns="">
        <xdr:sp macro="" textlink="">
          <xdr:nvSpPr>
            <xdr:cNvPr id="0" name=""/>
            <xdr:cNvSpPr>
              <a:spLocks noTextEdit="1"/>
            </xdr:cNvSpPr>
          </xdr:nvSpPr>
          <xdr:spPr>
            <a:xfrm>
              <a:off x="4180" y="3074607"/>
              <a:ext cx="1828800" cy="145881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ranav Rao" refreshedDate="45861.397902314813" createdVersion="8" refreshedVersion="8" minRefreshableVersion="3" recordCount="23" xr:uid="{0486C192-E587-463E-B23A-41F3E3469F48}">
  <cacheSource type="worksheet">
    <worksheetSource name="TBData"/>
  </cacheSource>
  <cacheFields count="9">
    <cacheField name="Patient Initials" numFmtId="0">
      <sharedItems/>
    </cacheField>
    <cacheField name="Date of Birth" numFmtId="14">
      <sharedItems containsSemiMixedTypes="0" containsNonDate="0" containsDate="1" containsString="0" minDate="1941-03-09T00:00:00" maxDate="1998-03-22T00:00:00"/>
    </cacheField>
    <cacheField name="Age" numFmtId="0">
      <sharedItems containsSemiMixedTypes="0" containsString="0" containsNumber="1" containsInteger="1" minValue="27" maxValue="84"/>
    </cacheField>
    <cacheField name="Age Group" numFmtId="0">
      <sharedItems count="5">
        <s v="50–59"/>
        <s v="30–39"/>
        <s v="40–49"/>
        <s v="18–29"/>
        <s v="60+"/>
      </sharedItems>
    </cacheField>
    <cacheField name="Visit Type" numFmtId="0">
      <sharedItems count="7">
        <s v="DOT medication dosage"/>
        <s v="DOT medication start"/>
        <s v="TSPOT blood draw"/>
        <s v="Final DOT dosage"/>
        <s v="Health history/labs"/>
        <s v="Medication refill/labs"/>
        <s v="Medication start"/>
      </sharedItems>
    </cacheField>
    <cacheField name="Labs Completed (Y/N)" numFmtId="0">
      <sharedItems count="1">
        <s v="Yes"/>
      </sharedItems>
    </cacheField>
    <cacheField name="DOT Observed (Y/N)" numFmtId="0">
      <sharedItems count="2">
        <s v="Yes"/>
        <s v="No"/>
      </sharedItems>
    </cacheField>
    <cacheField name="Newly Diagnosis (Y/N)" numFmtId="0">
      <sharedItems count="2">
        <s v="No"/>
        <s v="Yes"/>
      </sharedItems>
    </cacheField>
    <cacheField name="Chronic Diagnosis" numFmtId="0">
      <sharedItems count="5">
        <s v="Hypertension"/>
        <s v="None"/>
        <s v="Unknown until health history done"/>
        <s v="Fibromyalgia"/>
        <s v="Unknown till health history done" u="1"/>
      </sharedItems>
    </cacheField>
  </cacheFields>
  <extLst>
    <ext xmlns:x14="http://schemas.microsoft.com/office/spreadsheetml/2009/9/main" uri="{725AE2AE-9491-48be-B2B4-4EB974FC3084}">
      <x14:pivotCacheDefinition pivotCacheId="92527829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
  <r>
    <s v="D.U."/>
    <d v="1971-08-16T00:00:00"/>
    <n v="53"/>
    <x v="0"/>
    <x v="0"/>
    <x v="0"/>
    <x v="0"/>
    <x v="0"/>
    <x v="0"/>
  </r>
  <r>
    <s v="H.S."/>
    <d v="1992-12-08T00:00:00"/>
    <n v="32"/>
    <x v="1"/>
    <x v="0"/>
    <x v="0"/>
    <x v="0"/>
    <x v="0"/>
    <x v="1"/>
  </r>
  <r>
    <s v="U.G."/>
    <d v="1971-01-02T00:00:00"/>
    <n v="54"/>
    <x v="0"/>
    <x v="1"/>
    <x v="0"/>
    <x v="0"/>
    <x v="1"/>
    <x v="1"/>
  </r>
  <r>
    <s v="I.X."/>
    <d v="1980-10-09T00:00:00"/>
    <n v="44"/>
    <x v="2"/>
    <x v="0"/>
    <x v="0"/>
    <x v="0"/>
    <x v="0"/>
    <x v="1"/>
  </r>
  <r>
    <s v="V.D."/>
    <d v="1998-03-21T00:00:00"/>
    <n v="27"/>
    <x v="3"/>
    <x v="2"/>
    <x v="0"/>
    <x v="1"/>
    <x v="0"/>
    <x v="2"/>
  </r>
  <r>
    <s v="Q.W."/>
    <d v="1955-09-17T00:00:00"/>
    <n v="69"/>
    <x v="4"/>
    <x v="3"/>
    <x v="0"/>
    <x v="0"/>
    <x v="0"/>
    <x v="3"/>
  </r>
  <r>
    <s v="Q.B."/>
    <d v="1990-04-24T00:00:00"/>
    <n v="35"/>
    <x v="1"/>
    <x v="3"/>
    <x v="0"/>
    <x v="0"/>
    <x v="0"/>
    <x v="0"/>
  </r>
  <r>
    <s v="G.G."/>
    <d v="1953-10-09T00:00:00"/>
    <n v="71"/>
    <x v="4"/>
    <x v="0"/>
    <x v="0"/>
    <x v="0"/>
    <x v="0"/>
    <x v="1"/>
  </r>
  <r>
    <s v="M.W."/>
    <d v="1941-03-09T00:00:00"/>
    <n v="84"/>
    <x v="4"/>
    <x v="4"/>
    <x v="0"/>
    <x v="1"/>
    <x v="0"/>
    <x v="1"/>
  </r>
  <r>
    <s v="W.N."/>
    <d v="1951-04-10T00:00:00"/>
    <n v="74"/>
    <x v="4"/>
    <x v="2"/>
    <x v="0"/>
    <x v="1"/>
    <x v="0"/>
    <x v="2"/>
  </r>
  <r>
    <s v="W.T."/>
    <d v="1972-11-08T00:00:00"/>
    <n v="52"/>
    <x v="0"/>
    <x v="2"/>
    <x v="0"/>
    <x v="1"/>
    <x v="0"/>
    <x v="2"/>
  </r>
  <r>
    <s v="X.P."/>
    <d v="1976-10-24T00:00:00"/>
    <n v="48"/>
    <x v="2"/>
    <x v="3"/>
    <x v="0"/>
    <x v="0"/>
    <x v="0"/>
    <x v="1"/>
  </r>
  <r>
    <s v="N.V."/>
    <d v="1959-12-09T00:00:00"/>
    <n v="65"/>
    <x v="4"/>
    <x v="5"/>
    <x v="0"/>
    <x v="1"/>
    <x v="0"/>
    <x v="1"/>
  </r>
  <r>
    <s v="J.C."/>
    <d v="1980-02-12T00:00:00"/>
    <n v="45"/>
    <x v="2"/>
    <x v="0"/>
    <x v="0"/>
    <x v="0"/>
    <x v="0"/>
    <x v="1"/>
  </r>
  <r>
    <s v="T.U."/>
    <d v="1977-10-01T00:00:00"/>
    <n v="47"/>
    <x v="2"/>
    <x v="0"/>
    <x v="0"/>
    <x v="0"/>
    <x v="0"/>
    <x v="1"/>
  </r>
  <r>
    <s v="E.E."/>
    <d v="1944-10-22T00:00:00"/>
    <n v="80"/>
    <x v="4"/>
    <x v="5"/>
    <x v="0"/>
    <x v="1"/>
    <x v="0"/>
    <x v="0"/>
  </r>
  <r>
    <s v="Q.P."/>
    <d v="1977-09-30T00:00:00"/>
    <n v="47"/>
    <x v="2"/>
    <x v="4"/>
    <x v="0"/>
    <x v="1"/>
    <x v="0"/>
    <x v="1"/>
  </r>
  <r>
    <s v="M.G."/>
    <d v="1976-12-09T00:00:00"/>
    <n v="48"/>
    <x v="2"/>
    <x v="2"/>
    <x v="0"/>
    <x v="1"/>
    <x v="0"/>
    <x v="2"/>
  </r>
  <r>
    <s v="Y.N."/>
    <d v="1964-04-24T00:00:00"/>
    <n v="61"/>
    <x v="4"/>
    <x v="0"/>
    <x v="0"/>
    <x v="0"/>
    <x v="0"/>
    <x v="1"/>
  </r>
  <r>
    <s v="Q.G."/>
    <d v="1960-08-28T00:00:00"/>
    <n v="64"/>
    <x v="4"/>
    <x v="4"/>
    <x v="0"/>
    <x v="1"/>
    <x v="0"/>
    <x v="1"/>
  </r>
  <r>
    <s v="B.J."/>
    <d v="1998-02-07T00:00:00"/>
    <n v="27"/>
    <x v="3"/>
    <x v="2"/>
    <x v="0"/>
    <x v="1"/>
    <x v="0"/>
    <x v="2"/>
  </r>
  <r>
    <s v="J.G."/>
    <d v="1993-05-20T00:00:00"/>
    <n v="32"/>
    <x v="1"/>
    <x v="6"/>
    <x v="0"/>
    <x v="1"/>
    <x v="1"/>
    <x v="1"/>
  </r>
  <r>
    <s v="N.D."/>
    <d v="1942-07-28T00:00:00"/>
    <n v="82"/>
    <x v="4"/>
    <x v="0"/>
    <x v="0"/>
    <x v="0"/>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3D32B30-1D45-4020-8C97-85B2C01AFD0B}"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B9" firstHeaderRow="1" firstDataRow="1" firstDataCol="1"/>
  <pivotFields count="9">
    <pivotField dataField="1" showAll="0"/>
    <pivotField numFmtId="14" showAll="0"/>
    <pivotField showAll="0"/>
    <pivotField axis="axisRow" showAll="0">
      <items count="6">
        <item x="3"/>
        <item x="1"/>
        <item x="2"/>
        <item x="0"/>
        <item x="4"/>
        <item t="default"/>
      </items>
    </pivotField>
    <pivotField showAll="0"/>
    <pivotField showAll="0"/>
    <pivotField showAll="0"/>
    <pivotField showAll="0"/>
    <pivotField showAll="0">
      <items count="6">
        <item x="3"/>
        <item x="0"/>
        <item x="1"/>
        <item h="1" m="1" x="4"/>
        <item x="2"/>
        <item t="default"/>
      </items>
    </pivotField>
  </pivotFields>
  <rowFields count="1">
    <field x="3"/>
  </rowFields>
  <rowItems count="6">
    <i>
      <x/>
    </i>
    <i>
      <x v="1"/>
    </i>
    <i>
      <x v="2"/>
    </i>
    <i>
      <x v="3"/>
    </i>
    <i>
      <x v="4"/>
    </i>
    <i t="grand">
      <x/>
    </i>
  </rowItems>
  <colItems count="1">
    <i/>
  </colItems>
  <dataFields count="1">
    <dataField name="Count of Patient Initials" fld="0" subtotal="count" baseField="0" baseItem="0"/>
  </dataFields>
  <chartFormats count="6">
    <chartFormat chart="5" format="12" series="1">
      <pivotArea type="data" outline="0" fieldPosition="0">
        <references count="1">
          <reference field="4294967294" count="1" selected="0">
            <x v="0"/>
          </reference>
        </references>
      </pivotArea>
    </chartFormat>
    <chartFormat chart="5" format="13">
      <pivotArea type="data" outline="0" fieldPosition="0">
        <references count="2">
          <reference field="4294967294" count="1" selected="0">
            <x v="0"/>
          </reference>
          <reference field="3" count="1" selected="0">
            <x v="0"/>
          </reference>
        </references>
      </pivotArea>
    </chartFormat>
    <chartFormat chart="5" format="14">
      <pivotArea type="data" outline="0" fieldPosition="0">
        <references count="2">
          <reference field="4294967294" count="1" selected="0">
            <x v="0"/>
          </reference>
          <reference field="3" count="1" selected="0">
            <x v="1"/>
          </reference>
        </references>
      </pivotArea>
    </chartFormat>
    <chartFormat chart="5" format="15">
      <pivotArea type="data" outline="0" fieldPosition="0">
        <references count="2">
          <reference field="4294967294" count="1" selected="0">
            <x v="0"/>
          </reference>
          <reference field="3" count="1" selected="0">
            <x v="2"/>
          </reference>
        </references>
      </pivotArea>
    </chartFormat>
    <chartFormat chart="5" format="16">
      <pivotArea type="data" outline="0" fieldPosition="0">
        <references count="2">
          <reference field="4294967294" count="1" selected="0">
            <x v="0"/>
          </reference>
          <reference field="3" count="1" selected="0">
            <x v="3"/>
          </reference>
        </references>
      </pivotArea>
    </chartFormat>
    <chartFormat chart="5" format="17">
      <pivotArea type="data" outline="0" fieldPosition="0">
        <references count="2">
          <reference field="4294967294" count="1" selected="0">
            <x v="0"/>
          </reference>
          <reference field="3"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B756BD9-0100-449E-A8F5-BBD3EB3CA4FC}"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D6" firstHeaderRow="1" firstDataRow="2" firstDataCol="1"/>
  <pivotFields count="9">
    <pivotField dataField="1" showAll="0"/>
    <pivotField numFmtId="14" showAll="0"/>
    <pivotField showAll="0"/>
    <pivotField showAll="0">
      <items count="6">
        <item x="3"/>
        <item x="1"/>
        <item x="2"/>
        <item x="0"/>
        <item x="4"/>
        <item t="default"/>
      </items>
    </pivotField>
    <pivotField showAll="0"/>
    <pivotField axis="axisRow" showAll="0">
      <items count="2">
        <item x="0"/>
        <item t="default"/>
      </items>
    </pivotField>
    <pivotField axis="axisCol" showAll="0">
      <items count="3">
        <item x="1"/>
        <item x="0"/>
        <item t="default"/>
      </items>
    </pivotField>
    <pivotField showAll="0"/>
    <pivotField showAll="0">
      <items count="6">
        <item x="3"/>
        <item x="0"/>
        <item x="1"/>
        <item h="1" m="1" x="4"/>
        <item x="2"/>
        <item t="default"/>
      </items>
    </pivotField>
  </pivotFields>
  <rowFields count="1">
    <field x="5"/>
  </rowFields>
  <rowItems count="2">
    <i>
      <x/>
    </i>
    <i t="grand">
      <x/>
    </i>
  </rowItems>
  <colFields count="1">
    <field x="6"/>
  </colFields>
  <colItems count="3">
    <i>
      <x/>
    </i>
    <i>
      <x v="1"/>
    </i>
    <i t="grand">
      <x/>
    </i>
  </colItems>
  <dataFields count="1">
    <dataField name="Count of Patient Initials" fld="0" subtotal="count" baseField="0" baseItem="0"/>
  </dataFields>
  <chartFormats count="4">
    <chartFormat chart="0" format="0" series="1">
      <pivotArea type="data" outline="0" fieldPosition="0">
        <references count="2">
          <reference field="4294967294" count="1" selected="0">
            <x v="0"/>
          </reference>
          <reference field="6" count="1" selected="0">
            <x v="0"/>
          </reference>
        </references>
      </pivotArea>
    </chartFormat>
    <chartFormat chart="0" format="1" series="1">
      <pivotArea type="data" outline="0" fieldPosition="0">
        <references count="2">
          <reference field="4294967294" count="1" selected="0">
            <x v="0"/>
          </reference>
          <reference field="6" count="1" selected="0">
            <x v="1"/>
          </reference>
        </references>
      </pivotArea>
    </chartFormat>
    <chartFormat chart="6" format="4" series="1">
      <pivotArea type="data" outline="0" fieldPosition="0">
        <references count="2">
          <reference field="4294967294" count="1" selected="0">
            <x v="0"/>
          </reference>
          <reference field="6" count="1" selected="0">
            <x v="0"/>
          </reference>
        </references>
      </pivotArea>
    </chartFormat>
    <chartFormat chart="6" format="5" series="1">
      <pivotArea type="data" outline="0" fieldPosition="0">
        <references count="2">
          <reference field="4294967294" count="1" selected="0">
            <x v="0"/>
          </reference>
          <reference field="6"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D950CD5-3450-4279-A415-F2E14B1E826F}"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8" firstHeaderRow="1" firstDataRow="1" firstDataCol="1"/>
  <pivotFields count="9">
    <pivotField dataField="1" showAll="0"/>
    <pivotField numFmtId="14" showAll="0"/>
    <pivotField showAll="0"/>
    <pivotField showAll="0">
      <items count="6">
        <item x="3"/>
        <item x="1"/>
        <item x="2"/>
        <item x="0"/>
        <item x="4"/>
        <item t="default"/>
      </items>
    </pivotField>
    <pivotField showAll="0"/>
    <pivotField showAll="0"/>
    <pivotField showAll="0"/>
    <pivotField showAll="0"/>
    <pivotField axis="axisRow" showAll="0">
      <items count="6">
        <item x="3"/>
        <item x="0"/>
        <item x="1"/>
        <item h="1" m="1" x="4"/>
        <item x="2"/>
        <item t="default"/>
      </items>
    </pivotField>
  </pivotFields>
  <rowFields count="1">
    <field x="8"/>
  </rowFields>
  <rowItems count="5">
    <i>
      <x/>
    </i>
    <i>
      <x v="1"/>
    </i>
    <i>
      <x v="2"/>
    </i>
    <i>
      <x v="4"/>
    </i>
    <i t="grand">
      <x/>
    </i>
  </rowItems>
  <colItems count="1">
    <i/>
  </colItems>
  <dataFields count="1">
    <dataField name="Count of Patient Initials" fld="0" subtotal="count" baseField="0" baseItem="0"/>
  </dataFields>
  <chartFormats count="2">
    <chartFormat chart="7" format="6" series="1">
      <pivotArea type="data" outline="0" fieldPosition="0">
        <references count="1">
          <reference field="4294967294" count="1" selected="0">
            <x v="0"/>
          </reference>
        </references>
      </pivotArea>
    </chartFormat>
    <chartFormat chart="7" format="7">
      <pivotArea type="data" outline="0" fieldPosition="0">
        <references count="2">
          <reference field="4294967294" count="1" selected="0">
            <x v="0"/>
          </reference>
          <reference field="8"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C6E2653-E15F-4324-87AE-E8F3FAF8C8A5}"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8" firstHeaderRow="1" firstDataRow="1" firstDataCol="1"/>
  <pivotFields count="9">
    <pivotField showAll="0"/>
    <pivotField numFmtId="14" showAll="0"/>
    <pivotField dataField="1" showAll="0"/>
    <pivotField showAll="0">
      <items count="6">
        <item x="3"/>
        <item x="1"/>
        <item x="2"/>
        <item x="0"/>
        <item x="4"/>
        <item t="default"/>
      </items>
    </pivotField>
    <pivotField showAll="0"/>
    <pivotField showAll="0"/>
    <pivotField showAll="0"/>
    <pivotField showAll="0"/>
    <pivotField axis="axisRow" showAll="0">
      <items count="6">
        <item x="3"/>
        <item x="0"/>
        <item x="1"/>
        <item h="1" m="1" x="4"/>
        <item x="2"/>
        <item t="default"/>
      </items>
    </pivotField>
  </pivotFields>
  <rowFields count="1">
    <field x="8"/>
  </rowFields>
  <rowItems count="5">
    <i>
      <x/>
    </i>
    <i>
      <x v="1"/>
    </i>
    <i>
      <x v="2"/>
    </i>
    <i>
      <x v="4"/>
    </i>
    <i t="grand">
      <x/>
    </i>
  </rowItems>
  <colItems count="1">
    <i/>
  </colItems>
  <dataFields count="1">
    <dataField name="Average of Age" fld="2" subtotal="average" baseField="7" baseItem="0" numFmtId="164"/>
  </dataFields>
  <chartFormats count="5">
    <chartFormat chart="7" format="10" series="1">
      <pivotArea type="data" outline="0" fieldPosition="0">
        <references count="1">
          <reference field="4294967294" count="1" selected="0">
            <x v="0"/>
          </reference>
        </references>
      </pivotArea>
    </chartFormat>
    <chartFormat chart="7" format="11">
      <pivotArea type="data" outline="0" fieldPosition="0">
        <references count="2">
          <reference field="4294967294" count="1" selected="0">
            <x v="0"/>
          </reference>
          <reference field="8" count="1" selected="0">
            <x v="0"/>
          </reference>
        </references>
      </pivotArea>
    </chartFormat>
    <chartFormat chart="7" format="12">
      <pivotArea type="data" outline="0" fieldPosition="0">
        <references count="2">
          <reference field="4294967294" count="1" selected="0">
            <x v="0"/>
          </reference>
          <reference field="8" count="1" selected="0">
            <x v="1"/>
          </reference>
        </references>
      </pivotArea>
    </chartFormat>
    <chartFormat chart="7" format="13">
      <pivotArea type="data" outline="0" fieldPosition="0">
        <references count="2">
          <reference field="4294967294" count="1" selected="0">
            <x v="0"/>
          </reference>
          <reference field="8" count="1" selected="0">
            <x v="2"/>
          </reference>
        </references>
      </pivotArea>
    </chartFormat>
    <chartFormat chart="7" format="14">
      <pivotArea type="data" outline="0" fieldPosition="0">
        <references count="2">
          <reference field="4294967294" count="1" selected="0">
            <x v="0"/>
          </reference>
          <reference field="8"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F32B56C-4534-489F-9C87-C7AFF5B2B850}"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D9" firstHeaderRow="1" firstDataRow="2" firstDataCol="1"/>
  <pivotFields count="9">
    <pivotField dataField="1" showAll="0"/>
    <pivotField numFmtId="14" showAll="0"/>
    <pivotField showAll="0"/>
    <pivotField showAll="0">
      <items count="6">
        <item x="3"/>
        <item x="1"/>
        <item x="2"/>
        <item x="0"/>
        <item x="4"/>
        <item t="default"/>
      </items>
    </pivotField>
    <pivotField showAll="0"/>
    <pivotField showAll="0"/>
    <pivotField showAll="0"/>
    <pivotField axis="axisCol" showAll="0">
      <items count="3">
        <item x="0"/>
        <item x="1"/>
        <item t="default"/>
      </items>
    </pivotField>
    <pivotField axis="axisRow" showAll="0">
      <items count="6">
        <item x="3"/>
        <item x="0"/>
        <item x="1"/>
        <item h="1" m="1" x="4"/>
        <item x="2"/>
        <item t="default"/>
      </items>
    </pivotField>
  </pivotFields>
  <rowFields count="1">
    <field x="8"/>
  </rowFields>
  <rowItems count="5">
    <i>
      <x/>
    </i>
    <i>
      <x v="1"/>
    </i>
    <i>
      <x v="2"/>
    </i>
    <i>
      <x v="4"/>
    </i>
    <i t="grand">
      <x/>
    </i>
  </rowItems>
  <colFields count="1">
    <field x="7"/>
  </colFields>
  <colItems count="3">
    <i>
      <x/>
    </i>
    <i>
      <x v="1"/>
    </i>
    <i t="grand">
      <x/>
    </i>
  </colItems>
  <dataFields count="1">
    <dataField name="Count of Patient Initials" fld="0" subtotal="count" baseField="0" baseItem="0"/>
  </dataFields>
  <chartFormats count="2">
    <chartFormat chart="6" format="4" series="1">
      <pivotArea type="data" outline="0" fieldPosition="0">
        <references count="2">
          <reference field="4294967294" count="1" selected="0">
            <x v="0"/>
          </reference>
          <reference field="7" count="1" selected="0">
            <x v="0"/>
          </reference>
        </references>
      </pivotArea>
    </chartFormat>
    <chartFormat chart="6" format="5" series="1">
      <pivotArea type="data" outline="0" fieldPosition="0">
        <references count="2">
          <reference field="4294967294" count="1" selected="0">
            <x v="0"/>
          </reference>
          <reference field="7"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669B06D-1E0D-4544-A83C-54F1EF9724EF}"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11" firstHeaderRow="1" firstDataRow="1" firstDataCol="1"/>
  <pivotFields count="9">
    <pivotField dataField="1" showAll="0"/>
    <pivotField numFmtId="14" showAll="0"/>
    <pivotField showAll="0"/>
    <pivotField showAll="0">
      <items count="6">
        <item x="3"/>
        <item x="1"/>
        <item x="2"/>
        <item x="0"/>
        <item x="4"/>
        <item t="default"/>
      </items>
    </pivotField>
    <pivotField axis="axisRow" showAll="0">
      <items count="8">
        <item x="0"/>
        <item x="1"/>
        <item x="3"/>
        <item x="4"/>
        <item x="5"/>
        <item x="6"/>
        <item x="2"/>
        <item t="default"/>
      </items>
    </pivotField>
    <pivotField showAll="0"/>
    <pivotField showAll="0"/>
    <pivotField showAll="0"/>
    <pivotField showAll="0">
      <items count="6">
        <item x="3"/>
        <item x="0"/>
        <item x="1"/>
        <item h="1" m="1" x="4"/>
        <item x="2"/>
        <item t="default"/>
      </items>
    </pivotField>
  </pivotFields>
  <rowFields count="1">
    <field x="4"/>
  </rowFields>
  <rowItems count="8">
    <i>
      <x/>
    </i>
    <i>
      <x v="1"/>
    </i>
    <i>
      <x v="2"/>
    </i>
    <i>
      <x v="3"/>
    </i>
    <i>
      <x v="4"/>
    </i>
    <i>
      <x v="5"/>
    </i>
    <i>
      <x v="6"/>
    </i>
    <i t="grand">
      <x/>
    </i>
  </rowItems>
  <colItems count="1">
    <i/>
  </colItems>
  <dataFields count="1">
    <dataField name="Count of Patient Initials" fld="0" subtotal="count" baseField="0" baseItem="0"/>
  </dataFields>
  <chartFormats count="3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4" count="1" selected="0">
            <x v="0"/>
          </reference>
        </references>
      </pivotArea>
    </chartFormat>
    <chartFormat chart="0" format="2">
      <pivotArea type="data" outline="0" fieldPosition="0">
        <references count="2">
          <reference field="4294967294" count="1" selected="0">
            <x v="0"/>
          </reference>
          <reference field="4" count="1" selected="0">
            <x v="1"/>
          </reference>
        </references>
      </pivotArea>
    </chartFormat>
    <chartFormat chart="0" format="3">
      <pivotArea type="data" outline="0" fieldPosition="0">
        <references count="2">
          <reference field="4294967294" count="1" selected="0">
            <x v="0"/>
          </reference>
          <reference field="4" count="1" selected="0">
            <x v="2"/>
          </reference>
        </references>
      </pivotArea>
    </chartFormat>
    <chartFormat chart="0" format="4">
      <pivotArea type="data" outline="0" fieldPosition="0">
        <references count="2">
          <reference field="4294967294" count="1" selected="0">
            <x v="0"/>
          </reference>
          <reference field="4" count="1" selected="0">
            <x v="3"/>
          </reference>
        </references>
      </pivotArea>
    </chartFormat>
    <chartFormat chart="0" format="5">
      <pivotArea type="data" outline="0" fieldPosition="0">
        <references count="2">
          <reference field="4294967294" count="1" selected="0">
            <x v="0"/>
          </reference>
          <reference field="4" count="1" selected="0">
            <x v="4"/>
          </reference>
        </references>
      </pivotArea>
    </chartFormat>
    <chartFormat chart="0" format="6">
      <pivotArea type="data" outline="0" fieldPosition="0">
        <references count="2">
          <reference field="4294967294" count="1" selected="0">
            <x v="0"/>
          </reference>
          <reference field="4" count="1" selected="0">
            <x v="5"/>
          </reference>
        </references>
      </pivotArea>
    </chartFormat>
    <chartFormat chart="0" format="7">
      <pivotArea type="data" outline="0" fieldPosition="0">
        <references count="2">
          <reference field="4294967294" count="1" selected="0">
            <x v="0"/>
          </reference>
          <reference field="4" count="1" selected="0">
            <x v="6"/>
          </reference>
        </references>
      </pivotArea>
    </chartFormat>
    <chartFormat chart="2" format="8" series="1">
      <pivotArea type="data" outline="0" fieldPosition="0">
        <references count="1">
          <reference field="4294967294" count="1" selected="0">
            <x v="0"/>
          </reference>
        </references>
      </pivotArea>
    </chartFormat>
    <chartFormat chart="2" format="9">
      <pivotArea type="data" outline="0" fieldPosition="0">
        <references count="2">
          <reference field="4294967294" count="1" selected="0">
            <x v="0"/>
          </reference>
          <reference field="4" count="1" selected="0">
            <x v="0"/>
          </reference>
        </references>
      </pivotArea>
    </chartFormat>
    <chartFormat chart="2" format="10">
      <pivotArea type="data" outline="0" fieldPosition="0">
        <references count="2">
          <reference field="4294967294" count="1" selected="0">
            <x v="0"/>
          </reference>
          <reference field="4" count="1" selected="0">
            <x v="1"/>
          </reference>
        </references>
      </pivotArea>
    </chartFormat>
    <chartFormat chart="2" format="11">
      <pivotArea type="data" outline="0" fieldPosition="0">
        <references count="2">
          <reference field="4294967294" count="1" selected="0">
            <x v="0"/>
          </reference>
          <reference field="4" count="1" selected="0">
            <x v="2"/>
          </reference>
        </references>
      </pivotArea>
    </chartFormat>
    <chartFormat chart="2" format="12">
      <pivotArea type="data" outline="0" fieldPosition="0">
        <references count="2">
          <reference field="4294967294" count="1" selected="0">
            <x v="0"/>
          </reference>
          <reference field="4" count="1" selected="0">
            <x v="3"/>
          </reference>
        </references>
      </pivotArea>
    </chartFormat>
    <chartFormat chart="2" format="13">
      <pivotArea type="data" outline="0" fieldPosition="0">
        <references count="2">
          <reference field="4294967294" count="1" selected="0">
            <x v="0"/>
          </reference>
          <reference field="4" count="1" selected="0">
            <x v="4"/>
          </reference>
        </references>
      </pivotArea>
    </chartFormat>
    <chartFormat chart="2" format="14">
      <pivotArea type="data" outline="0" fieldPosition="0">
        <references count="2">
          <reference field="4294967294" count="1" selected="0">
            <x v="0"/>
          </reference>
          <reference field="4" count="1" selected="0">
            <x v="5"/>
          </reference>
        </references>
      </pivotArea>
    </chartFormat>
    <chartFormat chart="2" format="15">
      <pivotArea type="data" outline="0" fieldPosition="0">
        <references count="2">
          <reference field="4294967294" count="1" selected="0">
            <x v="0"/>
          </reference>
          <reference field="4" count="1" selected="0">
            <x v="6"/>
          </reference>
        </references>
      </pivotArea>
    </chartFormat>
    <chartFormat chart="3" format="16" series="1">
      <pivotArea type="data" outline="0" fieldPosition="0">
        <references count="1">
          <reference field="4294967294" count="1" selected="0">
            <x v="0"/>
          </reference>
        </references>
      </pivotArea>
    </chartFormat>
    <chartFormat chart="3" format="17">
      <pivotArea type="data" outline="0" fieldPosition="0">
        <references count="2">
          <reference field="4294967294" count="1" selected="0">
            <x v="0"/>
          </reference>
          <reference field="4" count="1" selected="0">
            <x v="0"/>
          </reference>
        </references>
      </pivotArea>
    </chartFormat>
    <chartFormat chart="3" format="18">
      <pivotArea type="data" outline="0" fieldPosition="0">
        <references count="2">
          <reference field="4294967294" count="1" selected="0">
            <x v="0"/>
          </reference>
          <reference field="4" count="1" selected="0">
            <x v="1"/>
          </reference>
        </references>
      </pivotArea>
    </chartFormat>
    <chartFormat chart="3" format="19">
      <pivotArea type="data" outline="0" fieldPosition="0">
        <references count="2">
          <reference field="4294967294" count="1" selected="0">
            <x v="0"/>
          </reference>
          <reference field="4" count="1" selected="0">
            <x v="2"/>
          </reference>
        </references>
      </pivotArea>
    </chartFormat>
    <chartFormat chart="3" format="20">
      <pivotArea type="data" outline="0" fieldPosition="0">
        <references count="2">
          <reference field="4294967294" count="1" selected="0">
            <x v="0"/>
          </reference>
          <reference field="4" count="1" selected="0">
            <x v="3"/>
          </reference>
        </references>
      </pivotArea>
    </chartFormat>
    <chartFormat chart="3" format="21">
      <pivotArea type="data" outline="0" fieldPosition="0">
        <references count="2">
          <reference field="4294967294" count="1" selected="0">
            <x v="0"/>
          </reference>
          <reference field="4" count="1" selected="0">
            <x v="4"/>
          </reference>
        </references>
      </pivotArea>
    </chartFormat>
    <chartFormat chart="3" format="22">
      <pivotArea type="data" outline="0" fieldPosition="0">
        <references count="2">
          <reference field="4294967294" count="1" selected="0">
            <x v="0"/>
          </reference>
          <reference field="4" count="1" selected="0">
            <x v="5"/>
          </reference>
        </references>
      </pivotArea>
    </chartFormat>
    <chartFormat chart="3" format="23">
      <pivotArea type="data" outline="0" fieldPosition="0">
        <references count="2">
          <reference field="4294967294" count="1" selected="0">
            <x v="0"/>
          </reference>
          <reference field="4" count="1" selected="0">
            <x v="6"/>
          </reference>
        </references>
      </pivotArea>
    </chartFormat>
    <chartFormat chart="4" format="16" series="1">
      <pivotArea type="data" outline="0" fieldPosition="0">
        <references count="1">
          <reference field="4294967294" count="1" selected="0">
            <x v="0"/>
          </reference>
        </references>
      </pivotArea>
    </chartFormat>
    <chartFormat chart="4" format="17">
      <pivotArea type="data" outline="0" fieldPosition="0">
        <references count="2">
          <reference field="4294967294" count="1" selected="0">
            <x v="0"/>
          </reference>
          <reference field="4" count="1" selected="0">
            <x v="0"/>
          </reference>
        </references>
      </pivotArea>
    </chartFormat>
    <chartFormat chart="4" format="18">
      <pivotArea type="data" outline="0" fieldPosition="0">
        <references count="2">
          <reference field="4294967294" count="1" selected="0">
            <x v="0"/>
          </reference>
          <reference field="4" count="1" selected="0">
            <x v="1"/>
          </reference>
        </references>
      </pivotArea>
    </chartFormat>
    <chartFormat chart="4" format="19">
      <pivotArea type="data" outline="0" fieldPosition="0">
        <references count="2">
          <reference field="4294967294" count="1" selected="0">
            <x v="0"/>
          </reference>
          <reference field="4" count="1" selected="0">
            <x v="2"/>
          </reference>
        </references>
      </pivotArea>
    </chartFormat>
    <chartFormat chart="4" format="20">
      <pivotArea type="data" outline="0" fieldPosition="0">
        <references count="2">
          <reference field="4294967294" count="1" selected="0">
            <x v="0"/>
          </reference>
          <reference field="4" count="1" selected="0">
            <x v="3"/>
          </reference>
        </references>
      </pivotArea>
    </chartFormat>
    <chartFormat chart="4" format="21">
      <pivotArea type="data" outline="0" fieldPosition="0">
        <references count="2">
          <reference field="4294967294" count="1" selected="0">
            <x v="0"/>
          </reference>
          <reference field="4" count="1" selected="0">
            <x v="4"/>
          </reference>
        </references>
      </pivotArea>
    </chartFormat>
    <chartFormat chart="4" format="22">
      <pivotArea type="data" outline="0" fieldPosition="0">
        <references count="2">
          <reference field="4294967294" count="1" selected="0">
            <x v="0"/>
          </reference>
          <reference field="4" count="1" selected="0">
            <x v="5"/>
          </reference>
        </references>
      </pivotArea>
    </chartFormat>
    <chartFormat chart="4" format="23">
      <pivotArea type="data" outline="0" fieldPosition="0">
        <references count="2">
          <reference field="4294967294" count="1" selected="0">
            <x v="0"/>
          </reference>
          <reference field="4"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Group" xr10:uid="{2E1539CC-2911-415B-9E5A-DB96934B6C1C}" sourceName="Age Group">
  <pivotTables>
    <pivotTable tabId="9" name="PivotTable1"/>
    <pivotTable tabId="6" name="PivotTable4"/>
    <pivotTable tabId="8" name="PivotTable2"/>
    <pivotTable tabId="4" name="PivotTable2"/>
    <pivotTable tabId="7" name="PivotTable1"/>
    <pivotTable tabId="3" name="PivotTable1"/>
  </pivotTables>
  <data>
    <tabular pivotCacheId="925278295">
      <items count="5">
        <i x="3" s="1"/>
        <i x="1" s="1"/>
        <i x="2" s="1"/>
        <i x="0"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hronic_Diagnosis" xr10:uid="{3F161145-324E-4BC4-BE43-64C61376AA08}" sourceName="Chronic Diagnosis">
  <pivotTables>
    <pivotTable tabId="9" name="PivotTable1"/>
    <pivotTable tabId="6" name="PivotTable4"/>
    <pivotTable tabId="8" name="PivotTable2"/>
    <pivotTable tabId="4" name="PivotTable2"/>
    <pivotTable tabId="7" name="PivotTable1"/>
    <pivotTable tabId="3" name="PivotTable1"/>
  </pivotTables>
  <data>
    <tabular pivotCacheId="925278295" showMissing="0">
      <items count="5">
        <i x="3" s="1"/>
        <i x="0" s="1"/>
        <i x="1" s="1"/>
        <i x="2" s="1"/>
        <i x="4"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ge Group" xr10:uid="{56EC5D2D-171F-4F26-8CC3-23A7E9DD5CA7}" cache="Slicer_Age_Group" caption="Age Group" rowHeight="241300"/>
  <slicer name="Chronic Diagnosis" xr10:uid="{A6A770B8-A03B-4DC8-98E8-F55694C2AA05}" cache="Slicer_Chronic_Diagnosis" caption="Chronic Diagnosis"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B95FABA-787A-4710-A94D-D2FF70E93D8B}" name="TBData" displayName="TBData" ref="A1:I24" totalsRowShown="0" headerRowDxfId="10" dataDxfId="9">
  <autoFilter ref="A1:I24" xr:uid="{CB95FABA-787A-4710-A94D-D2FF70E93D8B}"/>
  <tableColumns count="9">
    <tableColumn id="1" xr3:uid="{2CD70236-3116-42B0-B077-7F1FA39A22FF}" name="Patient Initials" dataDxfId="8"/>
    <tableColumn id="2" xr3:uid="{056C3251-25F3-43F4-8366-4BDA951FEE53}" name="Date of Birth" dataDxfId="7"/>
    <tableColumn id="3" xr3:uid="{DE3EF3FB-838A-4904-84E2-581D0A400CD6}" name="Age" dataDxfId="6">
      <calculatedColumnFormula>DATEDIF(B2, TODAY(), "Y")</calculatedColumnFormula>
    </tableColumn>
    <tableColumn id="9" xr3:uid="{A24D3690-56D1-445A-81CB-05FB06C559DD}" name="Age Group" dataDxfId="5">
      <calculatedColumnFormula array="1">_xlfn.IFS(C2&lt;30, "18–29", C2&lt;40, "30–39", C2&lt;50, "40–49", C2&lt;60, "50–59", TRUE, "60+")</calculatedColumnFormula>
    </tableColumn>
    <tableColumn id="4" xr3:uid="{9DC20FE6-23AB-4E54-91FC-71F690CC83C3}" name="Visit Type" dataDxfId="4"/>
    <tableColumn id="5" xr3:uid="{561A9FCB-EA82-4DD7-A8B7-C77DA477DEE5}" name="Labs Completed (Y/N)" dataDxfId="3"/>
    <tableColumn id="6" xr3:uid="{C774D2F8-2F84-4472-8AD7-CDA45B19FDA6}" name="DOT Observed (Y/N)" dataDxfId="2"/>
    <tableColumn id="7" xr3:uid="{13805762-37E1-4082-89A0-FB5666FBD135}" name="Newly Diagnosis (Y/N)" dataDxfId="1"/>
    <tableColumn id="8" xr3:uid="{086356AE-8016-45E2-A207-E60AF652783D}" name="Chronic Diagnosis"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11A511-0672-43FD-8247-1907EB2BC8AD}">
  <dimension ref="A1"/>
  <sheetViews>
    <sheetView showGridLines="0" zoomScale="79" workbookViewId="0">
      <selection activeCell="X13" sqref="X13"/>
    </sheetView>
  </sheetViews>
  <sheetFormatPr defaultRowHeight="14.5" x14ac:dyDescent="0.3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24"/>
  <sheetViews>
    <sheetView tabSelected="1" workbookViewId="0">
      <selection activeCell="K8" sqref="K8"/>
    </sheetView>
  </sheetViews>
  <sheetFormatPr defaultRowHeight="14.5" x14ac:dyDescent="0.35"/>
  <cols>
    <col min="1" max="1" width="14.90625" style="2" customWidth="1"/>
    <col min="2" max="2" width="13.54296875" style="2" customWidth="1"/>
    <col min="3" max="3" width="9.453125" style="2" bestFit="1" customWidth="1"/>
    <col min="4" max="4" width="14.1796875" style="2" bestFit="1" customWidth="1"/>
    <col min="5" max="5" width="20.7265625" style="2" bestFit="1" customWidth="1"/>
    <col min="6" max="6" width="21" style="2" customWidth="1"/>
    <col min="7" max="7" width="19.7265625" style="2" customWidth="1"/>
    <col min="8" max="8" width="21.08984375" style="2" customWidth="1"/>
    <col min="9" max="9" width="17.54296875" style="2" customWidth="1"/>
    <col min="10" max="16384" width="8.7265625" style="2"/>
  </cols>
  <sheetData>
    <row r="1" spans="1:9" s="1" customFormat="1" x14ac:dyDescent="0.35">
      <c r="A1" s="1" t="s">
        <v>0</v>
      </c>
      <c r="B1" s="1" t="s">
        <v>1</v>
      </c>
      <c r="C1" s="1" t="s">
        <v>2</v>
      </c>
      <c r="D1" s="1" t="s">
        <v>49</v>
      </c>
      <c r="E1" s="1" t="s">
        <v>3</v>
      </c>
      <c r="F1" s="1" t="s">
        <v>4</v>
      </c>
      <c r="G1" s="1" t="s">
        <v>5</v>
      </c>
      <c r="H1" s="1" t="s">
        <v>6</v>
      </c>
      <c r="I1" s="1" t="s">
        <v>7</v>
      </c>
    </row>
    <row r="2" spans="1:9" x14ac:dyDescent="0.35">
      <c r="A2" s="2" t="s">
        <v>20</v>
      </c>
      <c r="B2" s="3">
        <v>26161</v>
      </c>
      <c r="C2" s="2">
        <f ca="1">DATEDIF(B2, TODAY(), "Y")</f>
        <v>53</v>
      </c>
      <c r="D2" s="2" t="str" cm="1">
        <f t="array" aca="1" ref="D2" ca="1">_xlfn.IFS(C2&lt;30, "18–29", C2&lt;40, "30–39", C2&lt;50, "40–49", C2&lt;60, "50–59", TRUE, "60+")</f>
        <v>50–59</v>
      </c>
      <c r="E2" s="2" t="s">
        <v>8</v>
      </c>
      <c r="F2" s="2" t="s">
        <v>15</v>
      </c>
      <c r="G2" s="2" t="s">
        <v>15</v>
      </c>
      <c r="H2" s="2" t="s">
        <v>16</v>
      </c>
      <c r="I2" s="2" t="s">
        <v>17</v>
      </c>
    </row>
    <row r="3" spans="1:9" x14ac:dyDescent="0.35">
      <c r="A3" s="2" t="s">
        <v>22</v>
      </c>
      <c r="B3" s="3">
        <v>33946</v>
      </c>
      <c r="C3" s="2">
        <f t="shared" ref="C3:C24" ca="1" si="0">DATEDIF(B3, TODAY(), "Y")</f>
        <v>32</v>
      </c>
      <c r="D3" s="2" t="str" cm="1">
        <f t="array" aca="1" ref="D3" ca="1">_xlfn.IFS(C3&lt;30, "18–29", C3&lt;40, "30–39", C3&lt;50, "40–49", C3&lt;60, "50–59", TRUE, "60+")</f>
        <v>30–39</v>
      </c>
      <c r="E3" s="2" t="s">
        <v>8</v>
      </c>
      <c r="F3" s="2" t="s">
        <v>15</v>
      </c>
      <c r="G3" s="2" t="s">
        <v>15</v>
      </c>
      <c r="H3" s="2" t="s">
        <v>16</v>
      </c>
      <c r="I3" s="2" t="s">
        <v>18</v>
      </c>
    </row>
    <row r="4" spans="1:9" x14ac:dyDescent="0.35">
      <c r="A4" s="2" t="s">
        <v>23</v>
      </c>
      <c r="B4" s="3">
        <v>25935</v>
      </c>
      <c r="C4" s="2">
        <f t="shared" ca="1" si="0"/>
        <v>54</v>
      </c>
      <c r="D4" s="2" t="str" cm="1">
        <f t="array" aca="1" ref="D4" ca="1">_xlfn.IFS(C4&lt;30, "18–29", C4&lt;40, "30–39", C4&lt;50, "40–49", C4&lt;60, "50–59", TRUE, "60+")</f>
        <v>50–59</v>
      </c>
      <c r="E4" s="2" t="s">
        <v>9</v>
      </c>
      <c r="F4" s="2" t="s">
        <v>15</v>
      </c>
      <c r="G4" s="2" t="s">
        <v>15</v>
      </c>
      <c r="H4" s="2" t="s">
        <v>15</v>
      </c>
      <c r="I4" s="2" t="s">
        <v>18</v>
      </c>
    </row>
    <row r="5" spans="1:9" x14ac:dyDescent="0.35">
      <c r="A5" s="2" t="s">
        <v>24</v>
      </c>
      <c r="B5" s="3">
        <v>29503</v>
      </c>
      <c r="C5" s="2">
        <f t="shared" ca="1" si="0"/>
        <v>44</v>
      </c>
      <c r="D5" s="2" t="str" cm="1">
        <f t="array" aca="1" ref="D5" ca="1">_xlfn.IFS(C5&lt;30, "18–29", C5&lt;40, "30–39", C5&lt;50, "40–49", C5&lt;60, "50–59", TRUE, "60+")</f>
        <v>40–49</v>
      </c>
      <c r="E5" s="2" t="s">
        <v>8</v>
      </c>
      <c r="F5" s="2" t="s">
        <v>15</v>
      </c>
      <c r="G5" s="2" t="s">
        <v>15</v>
      </c>
      <c r="H5" s="2" t="s">
        <v>16</v>
      </c>
      <c r="I5" s="2" t="s">
        <v>18</v>
      </c>
    </row>
    <row r="6" spans="1:9" ht="29" x14ac:dyDescent="0.35">
      <c r="A6" s="2" t="s">
        <v>25</v>
      </c>
      <c r="B6" s="3">
        <v>35875</v>
      </c>
      <c r="C6" s="2">
        <f t="shared" ca="1" si="0"/>
        <v>27</v>
      </c>
      <c r="D6" s="2" t="str" cm="1">
        <f t="array" aca="1" ref="D6" ca="1">_xlfn.IFS(C6&lt;30, "18–29", C6&lt;40, "30–39", C6&lt;50, "40–49", C6&lt;60, "50–59", TRUE, "60+")</f>
        <v>18–29</v>
      </c>
      <c r="E6" s="2" t="s">
        <v>10</v>
      </c>
      <c r="F6" s="2" t="s">
        <v>15</v>
      </c>
      <c r="G6" s="2" t="s">
        <v>16</v>
      </c>
      <c r="H6" s="2" t="s">
        <v>16</v>
      </c>
      <c r="I6" s="4" t="s">
        <v>47</v>
      </c>
    </row>
    <row r="7" spans="1:9" x14ac:dyDescent="0.35">
      <c r="A7" s="2" t="s">
        <v>26</v>
      </c>
      <c r="B7" s="3">
        <v>20349</v>
      </c>
      <c r="C7" s="2">
        <f t="shared" ca="1" si="0"/>
        <v>69</v>
      </c>
      <c r="D7" s="2" t="str" cm="1">
        <f t="array" aca="1" ref="D7" ca="1">_xlfn.IFS(C7&lt;30, "18–29", C7&lt;40, "30–39", C7&lt;50, "40–49", C7&lt;60, "50–59", TRUE, "60+")</f>
        <v>60+</v>
      </c>
      <c r="E7" s="2" t="s">
        <v>11</v>
      </c>
      <c r="F7" s="2" t="s">
        <v>15</v>
      </c>
      <c r="G7" s="2" t="s">
        <v>15</v>
      </c>
      <c r="H7" s="2" t="s">
        <v>16</v>
      </c>
      <c r="I7" s="2" t="s">
        <v>19</v>
      </c>
    </row>
    <row r="8" spans="1:9" x14ac:dyDescent="0.35">
      <c r="A8" s="2" t="s">
        <v>27</v>
      </c>
      <c r="B8" s="3">
        <v>32987</v>
      </c>
      <c r="C8" s="2">
        <f t="shared" ca="1" si="0"/>
        <v>35</v>
      </c>
      <c r="D8" s="2" t="str" cm="1">
        <f t="array" aca="1" ref="D8" ca="1">_xlfn.IFS(C8&lt;30, "18–29", C8&lt;40, "30–39", C8&lt;50, "40–49", C8&lt;60, "50–59", TRUE, "60+")</f>
        <v>30–39</v>
      </c>
      <c r="E8" s="2" t="s">
        <v>11</v>
      </c>
      <c r="F8" s="2" t="s">
        <v>15</v>
      </c>
      <c r="G8" s="2" t="s">
        <v>15</v>
      </c>
      <c r="H8" s="2" t="s">
        <v>16</v>
      </c>
      <c r="I8" s="2" t="s">
        <v>17</v>
      </c>
    </row>
    <row r="9" spans="1:9" x14ac:dyDescent="0.35">
      <c r="A9" s="2" t="s">
        <v>28</v>
      </c>
      <c r="B9" s="3">
        <v>19641</v>
      </c>
      <c r="C9" s="2">
        <f t="shared" ca="1" si="0"/>
        <v>71</v>
      </c>
      <c r="D9" s="2" t="str" cm="1">
        <f t="array" aca="1" ref="D9" ca="1">_xlfn.IFS(C9&lt;30, "18–29", C9&lt;40, "30–39", C9&lt;50, "40–49", C9&lt;60, "50–59", TRUE, "60+")</f>
        <v>60+</v>
      </c>
      <c r="E9" s="2" t="s">
        <v>8</v>
      </c>
      <c r="F9" s="2" t="s">
        <v>15</v>
      </c>
      <c r="G9" s="2" t="s">
        <v>15</v>
      </c>
      <c r="H9" s="2" t="s">
        <v>16</v>
      </c>
      <c r="I9" s="2" t="s">
        <v>18</v>
      </c>
    </row>
    <row r="10" spans="1:9" x14ac:dyDescent="0.35">
      <c r="A10" s="2" t="s">
        <v>29</v>
      </c>
      <c r="B10" s="3">
        <v>15044</v>
      </c>
      <c r="C10" s="2">
        <f t="shared" ca="1" si="0"/>
        <v>84</v>
      </c>
      <c r="D10" s="2" t="str" cm="1">
        <f t="array" aca="1" ref="D10" ca="1">_xlfn.IFS(C10&lt;30, "18–29", C10&lt;40, "30–39", C10&lt;50, "40–49", C10&lt;60, "50–59", TRUE, "60+")</f>
        <v>60+</v>
      </c>
      <c r="E10" s="2" t="s">
        <v>12</v>
      </c>
      <c r="F10" s="2" t="s">
        <v>15</v>
      </c>
      <c r="G10" s="2" t="s">
        <v>16</v>
      </c>
      <c r="H10" s="2" t="s">
        <v>16</v>
      </c>
      <c r="I10" s="2" t="s">
        <v>18</v>
      </c>
    </row>
    <row r="11" spans="1:9" ht="29" x14ac:dyDescent="0.35">
      <c r="A11" s="2" t="s">
        <v>30</v>
      </c>
      <c r="B11" s="3">
        <v>18728</v>
      </c>
      <c r="C11" s="2">
        <f t="shared" ca="1" si="0"/>
        <v>74</v>
      </c>
      <c r="D11" s="2" t="str" cm="1">
        <f t="array" aca="1" ref="D11" ca="1">_xlfn.IFS(C11&lt;30, "18–29", C11&lt;40, "30–39", C11&lt;50, "40–49", C11&lt;60, "50–59", TRUE, "60+")</f>
        <v>60+</v>
      </c>
      <c r="E11" s="2" t="s">
        <v>10</v>
      </c>
      <c r="F11" s="2" t="s">
        <v>15</v>
      </c>
      <c r="G11" s="2" t="s">
        <v>16</v>
      </c>
      <c r="H11" s="2" t="s">
        <v>16</v>
      </c>
      <c r="I11" s="4" t="s">
        <v>47</v>
      </c>
    </row>
    <row r="12" spans="1:9" ht="29" x14ac:dyDescent="0.35">
      <c r="A12" s="2" t="s">
        <v>31</v>
      </c>
      <c r="B12" s="3">
        <v>26611</v>
      </c>
      <c r="C12" s="2">
        <f t="shared" ca="1" si="0"/>
        <v>52</v>
      </c>
      <c r="D12" s="2" t="str" cm="1">
        <f t="array" aca="1" ref="D12" ca="1">_xlfn.IFS(C12&lt;30, "18–29", C12&lt;40, "30–39", C12&lt;50, "40–49", C12&lt;60, "50–59", TRUE, "60+")</f>
        <v>50–59</v>
      </c>
      <c r="E12" s="2" t="s">
        <v>10</v>
      </c>
      <c r="F12" s="2" t="s">
        <v>15</v>
      </c>
      <c r="G12" s="2" t="s">
        <v>16</v>
      </c>
      <c r="H12" s="2" t="s">
        <v>16</v>
      </c>
      <c r="I12" s="4" t="s">
        <v>47</v>
      </c>
    </row>
    <row r="13" spans="1:9" x14ac:dyDescent="0.35">
      <c r="A13" s="2" t="s">
        <v>32</v>
      </c>
      <c r="B13" s="3">
        <v>28057</v>
      </c>
      <c r="C13" s="2">
        <f t="shared" ca="1" si="0"/>
        <v>48</v>
      </c>
      <c r="D13" s="2" t="str" cm="1">
        <f t="array" aca="1" ref="D13" ca="1">_xlfn.IFS(C13&lt;30, "18–29", C13&lt;40, "30–39", C13&lt;50, "40–49", C13&lt;60, "50–59", TRUE, "60+")</f>
        <v>40–49</v>
      </c>
      <c r="E13" s="2" t="s">
        <v>11</v>
      </c>
      <c r="F13" s="2" t="s">
        <v>15</v>
      </c>
      <c r="G13" s="2" t="s">
        <v>15</v>
      </c>
      <c r="H13" s="2" t="s">
        <v>16</v>
      </c>
      <c r="I13" s="2" t="s">
        <v>18</v>
      </c>
    </row>
    <row r="14" spans="1:9" x14ac:dyDescent="0.35">
      <c r="A14" s="2" t="s">
        <v>33</v>
      </c>
      <c r="B14" s="3">
        <v>21893</v>
      </c>
      <c r="C14" s="2">
        <f t="shared" ca="1" si="0"/>
        <v>65</v>
      </c>
      <c r="D14" s="2" t="str" cm="1">
        <f t="array" aca="1" ref="D14" ca="1">_xlfn.IFS(C14&lt;30, "18–29", C14&lt;40, "30–39", C14&lt;50, "40–49", C14&lt;60, "50–59", TRUE, "60+")</f>
        <v>60+</v>
      </c>
      <c r="E14" s="2" t="s">
        <v>13</v>
      </c>
      <c r="F14" s="2" t="s">
        <v>15</v>
      </c>
      <c r="G14" s="2" t="s">
        <v>16</v>
      </c>
      <c r="H14" s="2" t="s">
        <v>16</v>
      </c>
      <c r="I14" s="2" t="s">
        <v>18</v>
      </c>
    </row>
    <row r="15" spans="1:9" x14ac:dyDescent="0.35">
      <c r="A15" s="2" t="s">
        <v>34</v>
      </c>
      <c r="B15" s="3">
        <v>29263</v>
      </c>
      <c r="C15" s="2">
        <f t="shared" ca="1" si="0"/>
        <v>45</v>
      </c>
      <c r="D15" s="2" t="str" cm="1">
        <f t="array" aca="1" ref="D15" ca="1">_xlfn.IFS(C15&lt;30, "18–29", C15&lt;40, "30–39", C15&lt;50, "40–49", C15&lt;60, "50–59", TRUE, "60+")</f>
        <v>40–49</v>
      </c>
      <c r="E15" s="2" t="s">
        <v>8</v>
      </c>
      <c r="F15" s="2" t="s">
        <v>15</v>
      </c>
      <c r="G15" s="2" t="s">
        <v>15</v>
      </c>
      <c r="H15" s="2" t="s">
        <v>16</v>
      </c>
      <c r="I15" s="2" t="s">
        <v>18</v>
      </c>
    </row>
    <row r="16" spans="1:9" x14ac:dyDescent="0.35">
      <c r="A16" s="2" t="s">
        <v>21</v>
      </c>
      <c r="B16" s="3">
        <v>28399</v>
      </c>
      <c r="C16" s="2">
        <f t="shared" ca="1" si="0"/>
        <v>47</v>
      </c>
      <c r="D16" s="2" t="str" cm="1">
        <f t="array" aca="1" ref="D16" ca="1">_xlfn.IFS(C16&lt;30, "18–29", C16&lt;40, "30–39", C16&lt;50, "40–49", C16&lt;60, "50–59", TRUE, "60+")</f>
        <v>40–49</v>
      </c>
      <c r="E16" s="2" t="s">
        <v>8</v>
      </c>
      <c r="F16" s="2" t="s">
        <v>15</v>
      </c>
      <c r="G16" s="2" t="s">
        <v>15</v>
      </c>
      <c r="H16" s="2" t="s">
        <v>16</v>
      </c>
      <c r="I16" s="2" t="s">
        <v>18</v>
      </c>
    </row>
    <row r="17" spans="1:9" x14ac:dyDescent="0.35">
      <c r="A17" s="2" t="s">
        <v>35</v>
      </c>
      <c r="B17" s="3">
        <v>16367</v>
      </c>
      <c r="C17" s="2">
        <f t="shared" ca="1" si="0"/>
        <v>80</v>
      </c>
      <c r="D17" s="2" t="str" cm="1">
        <f t="array" aca="1" ref="D17" ca="1">_xlfn.IFS(C17&lt;30, "18–29", C17&lt;40, "30–39", C17&lt;50, "40–49", C17&lt;60, "50–59", TRUE, "60+")</f>
        <v>60+</v>
      </c>
      <c r="E17" s="2" t="s">
        <v>13</v>
      </c>
      <c r="F17" s="2" t="s">
        <v>15</v>
      </c>
      <c r="G17" s="2" t="s">
        <v>16</v>
      </c>
      <c r="H17" s="2" t="s">
        <v>16</v>
      </c>
      <c r="I17" s="2" t="s">
        <v>17</v>
      </c>
    </row>
    <row r="18" spans="1:9" x14ac:dyDescent="0.35">
      <c r="A18" s="2" t="s">
        <v>36</v>
      </c>
      <c r="B18" s="3">
        <v>28398</v>
      </c>
      <c r="C18" s="2">
        <f t="shared" ca="1" si="0"/>
        <v>47</v>
      </c>
      <c r="D18" s="2" t="str" cm="1">
        <f t="array" aca="1" ref="D18" ca="1">_xlfn.IFS(C18&lt;30, "18–29", C18&lt;40, "30–39", C18&lt;50, "40–49", C18&lt;60, "50–59", TRUE, "60+")</f>
        <v>40–49</v>
      </c>
      <c r="E18" s="2" t="s">
        <v>12</v>
      </c>
      <c r="F18" s="2" t="s">
        <v>15</v>
      </c>
      <c r="G18" s="2" t="s">
        <v>16</v>
      </c>
      <c r="H18" s="2" t="s">
        <v>16</v>
      </c>
      <c r="I18" s="2" t="s">
        <v>18</v>
      </c>
    </row>
    <row r="19" spans="1:9" ht="29" x14ac:dyDescent="0.35">
      <c r="A19" s="2" t="s">
        <v>37</v>
      </c>
      <c r="B19" s="3">
        <v>28103</v>
      </c>
      <c r="C19" s="2">
        <f t="shared" ca="1" si="0"/>
        <v>48</v>
      </c>
      <c r="D19" s="2" t="str" cm="1">
        <f t="array" aca="1" ref="D19" ca="1">_xlfn.IFS(C19&lt;30, "18–29", C19&lt;40, "30–39", C19&lt;50, "40–49", C19&lt;60, "50–59", TRUE, "60+")</f>
        <v>40–49</v>
      </c>
      <c r="E19" s="2" t="s">
        <v>10</v>
      </c>
      <c r="F19" s="2" t="s">
        <v>15</v>
      </c>
      <c r="G19" s="2" t="s">
        <v>16</v>
      </c>
      <c r="H19" s="2" t="s">
        <v>16</v>
      </c>
      <c r="I19" s="4" t="s">
        <v>47</v>
      </c>
    </row>
    <row r="20" spans="1:9" x14ac:dyDescent="0.35">
      <c r="A20" s="2" t="s">
        <v>38</v>
      </c>
      <c r="B20" s="3">
        <v>23491</v>
      </c>
      <c r="C20" s="2">
        <f t="shared" ca="1" si="0"/>
        <v>61</v>
      </c>
      <c r="D20" s="2" t="str" cm="1">
        <f t="array" aca="1" ref="D20" ca="1">_xlfn.IFS(C20&lt;30, "18–29", C20&lt;40, "30–39", C20&lt;50, "40–49", C20&lt;60, "50–59", TRUE, "60+")</f>
        <v>60+</v>
      </c>
      <c r="E20" s="2" t="s">
        <v>8</v>
      </c>
      <c r="F20" s="2" t="s">
        <v>15</v>
      </c>
      <c r="G20" s="2" t="s">
        <v>15</v>
      </c>
      <c r="H20" s="2" t="s">
        <v>16</v>
      </c>
      <c r="I20" s="2" t="s">
        <v>18</v>
      </c>
    </row>
    <row r="21" spans="1:9" x14ac:dyDescent="0.35">
      <c r="A21" s="2" t="s">
        <v>39</v>
      </c>
      <c r="B21" s="3">
        <v>22156</v>
      </c>
      <c r="C21" s="2">
        <f t="shared" ca="1" si="0"/>
        <v>64</v>
      </c>
      <c r="D21" s="2" t="str" cm="1">
        <f t="array" aca="1" ref="D21" ca="1">_xlfn.IFS(C21&lt;30, "18–29", C21&lt;40, "30–39", C21&lt;50, "40–49", C21&lt;60, "50–59", TRUE, "60+")</f>
        <v>60+</v>
      </c>
      <c r="E21" s="2" t="s">
        <v>12</v>
      </c>
      <c r="F21" s="2" t="s">
        <v>15</v>
      </c>
      <c r="G21" s="2" t="s">
        <v>16</v>
      </c>
      <c r="H21" s="2" t="s">
        <v>16</v>
      </c>
      <c r="I21" s="2" t="s">
        <v>18</v>
      </c>
    </row>
    <row r="22" spans="1:9" ht="29" x14ac:dyDescent="0.35">
      <c r="A22" s="2" t="s">
        <v>40</v>
      </c>
      <c r="B22" s="3">
        <v>35833</v>
      </c>
      <c r="C22" s="2">
        <f t="shared" ca="1" si="0"/>
        <v>27</v>
      </c>
      <c r="D22" s="2" t="str" cm="1">
        <f t="array" aca="1" ref="D22" ca="1">_xlfn.IFS(C22&lt;30, "18–29", C22&lt;40, "30–39", C22&lt;50, "40–49", C22&lt;60, "50–59", TRUE, "60+")</f>
        <v>18–29</v>
      </c>
      <c r="E22" s="2" t="s">
        <v>10</v>
      </c>
      <c r="F22" s="2" t="s">
        <v>15</v>
      </c>
      <c r="G22" s="2" t="s">
        <v>16</v>
      </c>
      <c r="H22" s="2" t="s">
        <v>16</v>
      </c>
      <c r="I22" s="4" t="s">
        <v>47</v>
      </c>
    </row>
    <row r="23" spans="1:9" x14ac:dyDescent="0.35">
      <c r="A23" s="2" t="s">
        <v>41</v>
      </c>
      <c r="B23" s="3">
        <v>34109</v>
      </c>
      <c r="C23" s="2">
        <f t="shared" ca="1" si="0"/>
        <v>32</v>
      </c>
      <c r="D23" s="2" t="str" cm="1">
        <f t="array" aca="1" ref="D23" ca="1">_xlfn.IFS(C23&lt;30, "18–29", C23&lt;40, "30–39", C23&lt;50, "40–49", C23&lt;60, "50–59", TRUE, "60+")</f>
        <v>30–39</v>
      </c>
      <c r="E23" s="2" t="s">
        <v>14</v>
      </c>
      <c r="F23" s="2" t="s">
        <v>15</v>
      </c>
      <c r="G23" s="2" t="s">
        <v>16</v>
      </c>
      <c r="H23" s="2" t="s">
        <v>15</v>
      </c>
      <c r="I23" s="2" t="s">
        <v>18</v>
      </c>
    </row>
    <row r="24" spans="1:9" x14ac:dyDescent="0.35">
      <c r="A24" s="2" t="s">
        <v>42</v>
      </c>
      <c r="B24" s="3">
        <v>15550</v>
      </c>
      <c r="C24" s="2">
        <f t="shared" ca="1" si="0"/>
        <v>83</v>
      </c>
      <c r="D24" s="2" t="str" cm="1">
        <f t="array" aca="1" ref="D24" ca="1">_xlfn.IFS(C24&lt;30, "18–29", C24&lt;40, "30–39", C24&lt;50, "40–49", C24&lt;60, "50–59", TRUE, "60+")</f>
        <v>60+</v>
      </c>
      <c r="E24" s="2" t="s">
        <v>8</v>
      </c>
      <c r="F24" s="2" t="s">
        <v>15</v>
      </c>
      <c r="G24" s="2" t="s">
        <v>15</v>
      </c>
      <c r="H24" s="2" t="s">
        <v>16</v>
      </c>
      <c r="I24" s="2" t="s">
        <v>18</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A41C48-813E-47EC-BB47-CF1A477B8D8F}">
  <dimension ref="A3:B9"/>
  <sheetViews>
    <sheetView workbookViewId="0">
      <selection activeCell="B6" sqref="B6"/>
    </sheetView>
  </sheetViews>
  <sheetFormatPr defaultRowHeight="14.5" x14ac:dyDescent="0.35"/>
  <cols>
    <col min="1" max="1" width="12.36328125" bestFit="1" customWidth="1"/>
    <col min="2" max="2" width="20.81640625" bestFit="1" customWidth="1"/>
  </cols>
  <sheetData>
    <row r="3" spans="1:2" x14ac:dyDescent="0.35">
      <c r="A3" s="5" t="s">
        <v>43</v>
      </c>
      <c r="B3" t="s">
        <v>45</v>
      </c>
    </row>
    <row r="4" spans="1:2" x14ac:dyDescent="0.35">
      <c r="A4" s="6" t="s">
        <v>50</v>
      </c>
      <c r="B4">
        <v>2</v>
      </c>
    </row>
    <row r="5" spans="1:2" x14ac:dyDescent="0.35">
      <c r="A5" s="6" t="s">
        <v>51</v>
      </c>
      <c r="B5">
        <v>3</v>
      </c>
    </row>
    <row r="6" spans="1:2" x14ac:dyDescent="0.35">
      <c r="A6" s="6" t="s">
        <v>52</v>
      </c>
      <c r="B6">
        <v>6</v>
      </c>
    </row>
    <row r="7" spans="1:2" x14ac:dyDescent="0.35">
      <c r="A7" s="6" t="s">
        <v>53</v>
      </c>
      <c r="B7">
        <v>3</v>
      </c>
    </row>
    <row r="8" spans="1:2" x14ac:dyDescent="0.35">
      <c r="A8" s="6" t="s">
        <v>54</v>
      </c>
      <c r="B8">
        <v>9</v>
      </c>
    </row>
    <row r="9" spans="1:2" x14ac:dyDescent="0.35">
      <c r="A9" s="6" t="s">
        <v>44</v>
      </c>
      <c r="B9">
        <v>23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6E3ED3-AB6E-4FF9-9CD7-B850CA763536}">
  <dimension ref="A3:D6"/>
  <sheetViews>
    <sheetView workbookViewId="0">
      <selection activeCell="A5" sqref="A5"/>
    </sheetView>
  </sheetViews>
  <sheetFormatPr defaultRowHeight="14.5" x14ac:dyDescent="0.35"/>
  <cols>
    <col min="1" max="1" width="20.81640625" bestFit="1" customWidth="1"/>
    <col min="2" max="2" width="15.26953125" bestFit="1" customWidth="1"/>
    <col min="3" max="3" width="3.6328125" bestFit="1" customWidth="1"/>
    <col min="4" max="4" width="10.7265625" bestFit="1" customWidth="1"/>
  </cols>
  <sheetData>
    <row r="3" spans="1:4" x14ac:dyDescent="0.35">
      <c r="A3" s="5" t="s">
        <v>45</v>
      </c>
      <c r="B3" s="5" t="s">
        <v>46</v>
      </c>
    </row>
    <row r="4" spans="1:4" x14ac:dyDescent="0.35">
      <c r="A4" s="5" t="s">
        <v>43</v>
      </c>
      <c r="B4" t="s">
        <v>16</v>
      </c>
      <c r="C4" t="s">
        <v>15</v>
      </c>
      <c r="D4" t="s">
        <v>44</v>
      </c>
    </row>
    <row r="5" spans="1:4" x14ac:dyDescent="0.35">
      <c r="A5" s="6" t="s">
        <v>15</v>
      </c>
      <c r="B5">
        <v>11</v>
      </c>
      <c r="C5">
        <v>12</v>
      </c>
      <c r="D5">
        <v>23</v>
      </c>
    </row>
    <row r="6" spans="1:4" x14ac:dyDescent="0.35">
      <c r="A6" s="6" t="s">
        <v>44</v>
      </c>
      <c r="B6">
        <v>11</v>
      </c>
      <c r="C6">
        <v>12</v>
      </c>
      <c r="D6">
        <v>23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8C6A9D-BBB9-4CCB-906F-A3A76AB74189}">
  <dimension ref="A3:B8"/>
  <sheetViews>
    <sheetView workbookViewId="0">
      <selection activeCell="A7" sqref="A7"/>
    </sheetView>
  </sheetViews>
  <sheetFormatPr defaultRowHeight="14.5" x14ac:dyDescent="0.35"/>
  <cols>
    <col min="1" max="1" width="30.08984375" bestFit="1" customWidth="1"/>
    <col min="2" max="2" width="20.81640625" bestFit="1" customWidth="1"/>
  </cols>
  <sheetData>
    <row r="3" spans="1:2" x14ac:dyDescent="0.35">
      <c r="A3" s="5" t="s">
        <v>43</v>
      </c>
      <c r="B3" t="s">
        <v>45</v>
      </c>
    </row>
    <row r="4" spans="1:2" x14ac:dyDescent="0.35">
      <c r="A4" s="6" t="s">
        <v>19</v>
      </c>
      <c r="B4">
        <v>1</v>
      </c>
    </row>
    <row r="5" spans="1:2" x14ac:dyDescent="0.35">
      <c r="A5" s="6" t="s">
        <v>17</v>
      </c>
      <c r="B5">
        <v>3</v>
      </c>
    </row>
    <row r="6" spans="1:2" x14ac:dyDescent="0.35">
      <c r="A6" s="6" t="s">
        <v>18</v>
      </c>
      <c r="B6">
        <v>14</v>
      </c>
    </row>
    <row r="7" spans="1:2" x14ac:dyDescent="0.35">
      <c r="A7" s="6" t="s">
        <v>47</v>
      </c>
      <c r="B7">
        <v>5</v>
      </c>
    </row>
    <row r="8" spans="1:2" x14ac:dyDescent="0.35">
      <c r="A8" s="6" t="s">
        <v>44</v>
      </c>
      <c r="B8">
        <v>23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FBE98B-3075-4400-86C7-4FEAB7A51C68}">
  <dimension ref="A3:B8"/>
  <sheetViews>
    <sheetView workbookViewId="0">
      <selection activeCell="D17" sqref="D17"/>
    </sheetView>
  </sheetViews>
  <sheetFormatPr defaultRowHeight="14.5" x14ac:dyDescent="0.35"/>
  <cols>
    <col min="1" max="1" width="30.08984375" bestFit="1" customWidth="1"/>
    <col min="2" max="2" width="13.36328125" bestFit="1" customWidth="1"/>
  </cols>
  <sheetData>
    <row r="3" spans="1:2" x14ac:dyDescent="0.35">
      <c r="A3" s="5" t="s">
        <v>43</v>
      </c>
      <c r="B3" t="s">
        <v>48</v>
      </c>
    </row>
    <row r="4" spans="1:2" x14ac:dyDescent="0.35">
      <c r="A4" s="6" t="s">
        <v>19</v>
      </c>
      <c r="B4" s="7">
        <v>69</v>
      </c>
    </row>
    <row r="5" spans="1:2" x14ac:dyDescent="0.35">
      <c r="A5" s="6" t="s">
        <v>17</v>
      </c>
      <c r="B5" s="7">
        <v>56</v>
      </c>
    </row>
    <row r="6" spans="1:2" x14ac:dyDescent="0.35">
      <c r="A6" s="6" t="s">
        <v>18</v>
      </c>
      <c r="B6" s="7">
        <v>55.428571428571431</v>
      </c>
    </row>
    <row r="7" spans="1:2" x14ac:dyDescent="0.35">
      <c r="A7" s="6" t="s">
        <v>47</v>
      </c>
      <c r="B7" s="7">
        <v>45.6</v>
      </c>
    </row>
    <row r="8" spans="1:2" x14ac:dyDescent="0.35">
      <c r="A8" s="6" t="s">
        <v>44</v>
      </c>
      <c r="B8" s="7">
        <v>53.956521739130437</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DD4B2D-3D23-4DC1-AFE0-505075EF0D57}">
  <dimension ref="A3:D9"/>
  <sheetViews>
    <sheetView topLeftCell="A5" workbookViewId="0">
      <selection activeCell="A6" sqref="A6"/>
    </sheetView>
  </sheetViews>
  <sheetFormatPr defaultRowHeight="14.5" x14ac:dyDescent="0.35"/>
  <cols>
    <col min="1" max="1" width="30.08984375" bestFit="1" customWidth="1"/>
    <col min="2" max="2" width="15.26953125" bestFit="1" customWidth="1"/>
    <col min="3" max="3" width="3.6328125" bestFit="1" customWidth="1"/>
    <col min="4" max="4" width="10.7265625" bestFit="1" customWidth="1"/>
  </cols>
  <sheetData>
    <row r="3" spans="1:4" x14ac:dyDescent="0.35">
      <c r="A3" s="5" t="s">
        <v>45</v>
      </c>
      <c r="B3" s="5" t="s">
        <v>46</v>
      </c>
    </row>
    <row r="4" spans="1:4" x14ac:dyDescent="0.35">
      <c r="A4" s="5" t="s">
        <v>43</v>
      </c>
      <c r="B4" t="s">
        <v>16</v>
      </c>
      <c r="C4" t="s">
        <v>15</v>
      </c>
      <c r="D4" t="s">
        <v>44</v>
      </c>
    </row>
    <row r="5" spans="1:4" x14ac:dyDescent="0.35">
      <c r="A5" s="6" t="s">
        <v>19</v>
      </c>
      <c r="B5">
        <v>1</v>
      </c>
      <c r="D5">
        <v>1</v>
      </c>
    </row>
    <row r="6" spans="1:4" x14ac:dyDescent="0.35">
      <c r="A6" s="6" t="s">
        <v>17</v>
      </c>
      <c r="B6">
        <v>3</v>
      </c>
      <c r="D6">
        <v>3</v>
      </c>
    </row>
    <row r="7" spans="1:4" x14ac:dyDescent="0.35">
      <c r="A7" s="6" t="s">
        <v>18</v>
      </c>
      <c r="B7">
        <v>12</v>
      </c>
      <c r="C7">
        <v>2</v>
      </c>
      <c r="D7">
        <v>14</v>
      </c>
    </row>
    <row r="8" spans="1:4" x14ac:dyDescent="0.35">
      <c r="A8" s="6" t="s">
        <v>47</v>
      </c>
      <c r="B8">
        <v>5</v>
      </c>
      <c r="D8">
        <v>5</v>
      </c>
    </row>
    <row r="9" spans="1:4" x14ac:dyDescent="0.35">
      <c r="A9" s="6" t="s">
        <v>44</v>
      </c>
      <c r="B9">
        <v>21</v>
      </c>
      <c r="C9">
        <v>2</v>
      </c>
      <c r="D9">
        <v>23</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1E5468-5CA1-430D-9AAE-B564B9DD791A}">
  <dimension ref="A3:B11"/>
  <sheetViews>
    <sheetView workbookViewId="0">
      <selection activeCell="B7" sqref="B7"/>
    </sheetView>
  </sheetViews>
  <sheetFormatPr defaultRowHeight="14.5" x14ac:dyDescent="0.35"/>
  <cols>
    <col min="1" max="1" width="20.7265625" bestFit="1" customWidth="1"/>
    <col min="2" max="2" width="20.81640625" bestFit="1" customWidth="1"/>
  </cols>
  <sheetData>
    <row r="3" spans="1:2" x14ac:dyDescent="0.35">
      <c r="A3" s="5" t="s">
        <v>43</v>
      </c>
      <c r="B3" t="s">
        <v>45</v>
      </c>
    </row>
    <row r="4" spans="1:2" x14ac:dyDescent="0.35">
      <c r="A4" s="6" t="s">
        <v>8</v>
      </c>
      <c r="B4">
        <v>8</v>
      </c>
    </row>
    <row r="5" spans="1:2" x14ac:dyDescent="0.35">
      <c r="A5" s="6" t="s">
        <v>9</v>
      </c>
      <c r="B5">
        <v>1</v>
      </c>
    </row>
    <row r="6" spans="1:2" x14ac:dyDescent="0.35">
      <c r="A6" s="6" t="s">
        <v>11</v>
      </c>
      <c r="B6">
        <v>3</v>
      </c>
    </row>
    <row r="7" spans="1:2" x14ac:dyDescent="0.35">
      <c r="A7" s="6" t="s">
        <v>12</v>
      </c>
      <c r="B7">
        <v>3</v>
      </c>
    </row>
    <row r="8" spans="1:2" x14ac:dyDescent="0.35">
      <c r="A8" s="6" t="s">
        <v>13</v>
      </c>
      <c r="B8">
        <v>2</v>
      </c>
    </row>
    <row r="9" spans="1:2" x14ac:dyDescent="0.35">
      <c r="A9" s="6" t="s">
        <v>14</v>
      </c>
      <c r="B9">
        <v>1</v>
      </c>
    </row>
    <row r="10" spans="1:2" x14ac:dyDescent="0.35">
      <c r="A10" s="6" t="s">
        <v>10</v>
      </c>
      <c r="B10">
        <v>5</v>
      </c>
    </row>
    <row r="11" spans="1:2" x14ac:dyDescent="0.35">
      <c r="A11" s="6" t="s">
        <v>44</v>
      </c>
      <c r="B11">
        <v>23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Dashboard</vt:lpstr>
      <vt:lpstr>TB Data</vt:lpstr>
      <vt:lpstr>Proportion Age Group</vt:lpstr>
      <vt:lpstr>Lab Completion and DOT Observat</vt:lpstr>
      <vt:lpstr>Patients by Chronic Diagnosis</vt:lpstr>
      <vt:lpstr>Avg. Age by Chronic Diagnosis</vt:lpstr>
      <vt:lpstr>Newly vs.Chronic Diagnosis Type</vt:lpstr>
      <vt:lpstr>Visit Type Distribution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Pranav Rao</dc:creator>
  <cp:lastModifiedBy>Pranav Rao</cp:lastModifiedBy>
  <dcterms:created xsi:type="dcterms:W3CDTF">2015-06-05T18:17:20Z</dcterms:created>
  <dcterms:modified xsi:type="dcterms:W3CDTF">2025-07-31T21:51:16Z</dcterms:modified>
</cp:coreProperties>
</file>