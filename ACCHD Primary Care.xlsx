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C:\Users\phisf\Downloads\H2TX\ACCHD Health Data\"/>
    </mc:Choice>
  </mc:AlternateContent>
  <xr:revisionPtr revIDLastSave="0" documentId="13_ncr:1_{06DDB5ED-8210-4117-B839-694F77DA91EB}" xr6:coauthVersionLast="47" xr6:coauthVersionMax="47" xr10:uidLastSave="{00000000-0000-0000-0000-000000000000}"/>
  <bookViews>
    <workbookView xWindow="-110" yWindow="-110" windowWidth="19420" windowHeight="10300" xr2:uid="{53661C0C-51F1-4206-8006-3EC3B1407993}"/>
  </bookViews>
  <sheets>
    <sheet name="Dashboard" sheetId="3" r:id="rId1"/>
    <sheet name="Patient Data" sheetId="11" r:id="rId2"/>
    <sheet name="Follow-Up Appointments by Gende" sheetId="20" r:id="rId3"/>
    <sheet name="COUNTIF" sheetId="17" r:id="rId4"/>
    <sheet name="Follow-Up vs. Age Group" sheetId="19" r:id="rId5"/>
    <sheet name="Gender Distribution" sheetId="13" r:id="rId6"/>
    <sheet name="Age Group" sheetId="15" r:id="rId7"/>
    <sheet name="Follow Up vs. Treatment Plan" sheetId="18" r:id="rId8"/>
  </sheets>
  <definedNames>
    <definedName name="Slicer_Age_Group">#N/A</definedName>
    <definedName name="Slicer_Gend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11" l="1"/>
  <c r="D51" i="11" s="1" a="1"/>
  <c r="D51" i="11" s="1"/>
  <c r="C50" i="11"/>
  <c r="C49" i="11"/>
  <c r="D49" i="11" s="1" a="1"/>
  <c r="D49" i="11" s="1"/>
  <c r="C48" i="11"/>
  <c r="D48" i="11" s="1" a="1"/>
  <c r="D48" i="11" s="1"/>
  <c r="C47" i="11"/>
  <c r="D47" i="11" s="1" a="1"/>
  <c r="D47" i="11" s="1"/>
  <c r="C46" i="11"/>
  <c r="D46" i="11" s="1" a="1"/>
  <c r="D46" i="11" s="1"/>
  <c r="C45" i="11"/>
  <c r="D45" i="11" s="1" a="1"/>
  <c r="D45" i="11" s="1"/>
  <c r="C44" i="11"/>
  <c r="D44" i="11" s="1" a="1"/>
  <c r="D44" i="11" s="1"/>
  <c r="C43" i="11"/>
  <c r="D43" i="11" s="1" a="1"/>
  <c r="D43" i="11" s="1"/>
  <c r="C42" i="11"/>
  <c r="D42" i="11" s="1" a="1"/>
  <c r="D42" i="11" s="1"/>
  <c r="C41" i="11"/>
  <c r="D41" i="11" s="1" a="1"/>
  <c r="D41" i="11" s="1"/>
  <c r="C40" i="11"/>
  <c r="D40" i="11" s="1" a="1"/>
  <c r="D40" i="11" s="1"/>
  <c r="C39" i="11"/>
  <c r="D39" i="11" s="1" a="1"/>
  <c r="D39" i="11" s="1"/>
  <c r="C38" i="11"/>
  <c r="D38" i="11" s="1" a="1"/>
  <c r="D38" i="11" s="1"/>
  <c r="C37" i="11"/>
  <c r="D37" i="11" s="1" a="1"/>
  <c r="D37" i="11" s="1"/>
  <c r="C36" i="11"/>
  <c r="D36" i="11" s="1" a="1"/>
  <c r="D36" i="11" s="1"/>
  <c r="C35" i="11"/>
  <c r="D35" i="11" s="1" a="1"/>
  <c r="D35" i="11" s="1"/>
  <c r="C34" i="11"/>
  <c r="D34" i="11" s="1" a="1"/>
  <c r="D34" i="11" s="1"/>
  <c r="C33" i="11"/>
  <c r="D33" i="11" s="1" a="1"/>
  <c r="D33" i="11" s="1"/>
  <c r="C32" i="11"/>
  <c r="D32" i="11" s="1" a="1"/>
  <c r="D32" i="11" s="1"/>
  <c r="C31" i="11"/>
  <c r="D31" i="11" s="1" a="1"/>
  <c r="D31" i="11" s="1"/>
  <c r="C30" i="11"/>
  <c r="D30" i="11" s="1" a="1"/>
  <c r="D30" i="11" s="1"/>
  <c r="C29" i="11"/>
  <c r="D29" i="11" s="1" a="1"/>
  <c r="D29" i="11" s="1"/>
  <c r="C28" i="11"/>
  <c r="D28" i="11" s="1" a="1"/>
  <c r="D28" i="11" s="1"/>
  <c r="C27" i="11"/>
  <c r="D27" i="11" s="1" a="1"/>
  <c r="D27" i="11" s="1"/>
  <c r="C26" i="11"/>
  <c r="D26" i="11" s="1" a="1"/>
  <c r="D26" i="11" s="1"/>
  <c r="C25" i="11"/>
  <c r="D25" i="11" s="1" a="1"/>
  <c r="D25" i="11" s="1"/>
  <c r="C24" i="11"/>
  <c r="D24" i="11" s="1" a="1"/>
  <c r="D24" i="11" s="1"/>
  <c r="C23" i="11"/>
  <c r="D23" i="11" s="1" a="1"/>
  <c r="D23" i="11" s="1"/>
  <c r="C22" i="11"/>
  <c r="D22" i="11" s="1" a="1"/>
  <c r="D22" i="11" s="1"/>
  <c r="C21" i="11"/>
  <c r="D21" i="11" s="1" a="1"/>
  <c r="D21" i="11" s="1"/>
  <c r="C20" i="11"/>
  <c r="D20" i="11" s="1" a="1"/>
  <c r="D20" i="11" s="1"/>
  <c r="C19" i="11"/>
  <c r="D19" i="11" s="1" a="1"/>
  <c r="D19" i="11" s="1"/>
  <c r="C18" i="11"/>
  <c r="D18" i="11" s="1" a="1"/>
  <c r="D18" i="11" s="1"/>
  <c r="C17" i="11"/>
  <c r="D17" i="11" s="1" a="1"/>
  <c r="D17" i="11" s="1"/>
  <c r="C16" i="11"/>
  <c r="D16" i="11" s="1" a="1"/>
  <c r="D16" i="11" s="1"/>
  <c r="C15" i="11"/>
  <c r="D15" i="11" s="1" a="1"/>
  <c r="D15" i="11" s="1"/>
  <c r="C14" i="11"/>
  <c r="D14" i="11" s="1" a="1"/>
  <c r="D14" i="11" s="1"/>
  <c r="C13" i="11"/>
  <c r="D13" i="11" s="1" a="1"/>
  <c r="D13" i="11" s="1"/>
  <c r="C12" i="11"/>
  <c r="D12" i="11" s="1" a="1"/>
  <c r="D12" i="11" s="1"/>
  <c r="C11" i="11"/>
  <c r="D11" i="11" s="1" a="1"/>
  <c r="D11" i="11" s="1"/>
  <c r="C10" i="11"/>
  <c r="D10" i="11" s="1" a="1"/>
  <c r="D10" i="11" s="1"/>
  <c r="C9" i="11"/>
  <c r="D9" i="11" s="1" a="1"/>
  <c r="D9" i="11" s="1"/>
  <c r="C8" i="11"/>
  <c r="D8" i="11" s="1" a="1"/>
  <c r="D8" i="11" s="1"/>
  <c r="C7" i="11"/>
  <c r="D7" i="11" s="1" a="1"/>
  <c r="D7" i="11" s="1"/>
  <c r="C6" i="11"/>
  <c r="D6" i="11" s="1" a="1"/>
  <c r="D6" i="11" s="1"/>
  <c r="C5" i="11"/>
  <c r="D5" i="11" s="1" a="1"/>
  <c r="D5" i="11" s="1"/>
  <c r="C4" i="11"/>
  <c r="D4" i="11" s="1" a="1"/>
  <c r="D4" i="11" s="1"/>
  <c r="C3" i="11"/>
  <c r="D3" i="11" s="1" a="1"/>
  <c r="D3" i="11" s="1"/>
  <c r="D50" i="11" a="1"/>
  <c r="D50" i="11" s="1"/>
  <c r="C2" i="11"/>
  <c r="D2" i="11" s="1" a="1"/>
  <c r="D2" i="11" s="1"/>
  <c r="B7" i="17"/>
  <c r="B6" i="17"/>
  <c r="B5" i="17"/>
  <c r="B4" i="17"/>
  <c r="B3" i="17"/>
  <c r="B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7F3C20-D326-4062-910C-FB5B35541B1D}" keepAlive="1" name="Query - Sample_Patient_Data" description="Connection to the 'Sample_Patient_Data' query in the workbook." type="5" refreshedVersion="0" background="1">
    <dbPr connection="Provider=Microsoft.Mashup.OleDb.1;Data Source=$Workbook$;Location=Sample_Patient_Data;Extended Properties=&quot;&quot;" command="SELECT * FROM [Sample_Patient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<sst xmlns="http://schemas.openxmlformats.org/spreadsheetml/2006/main" count="874" uniqueCount="87">
  <si>
    <t>Patient Initials</t>
  </si>
  <si>
    <t>Date of Birth</t>
  </si>
  <si>
    <t>Age</t>
  </si>
  <si>
    <t>Gender</t>
  </si>
  <si>
    <t>Diabetes</t>
  </si>
  <si>
    <t>Heart Disease</t>
  </si>
  <si>
    <t>High Risk Sexual Behavior</t>
  </si>
  <si>
    <t>Hx Violence</t>
  </si>
  <si>
    <t>History of Injury</t>
  </si>
  <si>
    <t>Other</t>
  </si>
  <si>
    <t>Consents Up to Date</t>
  </si>
  <si>
    <t>Completed History</t>
  </si>
  <si>
    <t>Labc Completed</t>
  </si>
  <si>
    <t>Dx Test Ordered</t>
  </si>
  <si>
    <t>Education Provided</t>
  </si>
  <si>
    <t>Follow Up Appointments</t>
  </si>
  <si>
    <t>History of Malignancy</t>
  </si>
  <si>
    <t>Treatment Plan Document</t>
  </si>
  <si>
    <t>L.X.</t>
  </si>
  <si>
    <t>Female</t>
  </si>
  <si>
    <t>Yes</t>
  </si>
  <si>
    <t>No</t>
  </si>
  <si>
    <t/>
  </si>
  <si>
    <t>J.J.</t>
  </si>
  <si>
    <t>M.G.</t>
  </si>
  <si>
    <t>T.N.</t>
  </si>
  <si>
    <t>Male</t>
  </si>
  <si>
    <t>A.S.</t>
  </si>
  <si>
    <t>L.P.</t>
  </si>
  <si>
    <t>G.X.</t>
  </si>
  <si>
    <t>B.V.</t>
  </si>
  <si>
    <t>Q.K.</t>
  </si>
  <si>
    <t>E.O.</t>
  </si>
  <si>
    <t>Q.J.</t>
  </si>
  <si>
    <t>T.R.</t>
  </si>
  <si>
    <t>H.P.</t>
  </si>
  <si>
    <t>Z.W.</t>
  </si>
  <si>
    <t>M.Z.</t>
  </si>
  <si>
    <t>B.M.</t>
  </si>
  <si>
    <t>U.A.</t>
  </si>
  <si>
    <t>Q.U.</t>
  </si>
  <si>
    <t>A.T.</t>
  </si>
  <si>
    <t>N.T.</t>
  </si>
  <si>
    <t>A.N.</t>
  </si>
  <si>
    <t>G.C.</t>
  </si>
  <si>
    <t>P.X.</t>
  </si>
  <si>
    <t>B.F.</t>
  </si>
  <si>
    <t>F.L.</t>
  </si>
  <si>
    <t>M.P.</t>
  </si>
  <si>
    <t>L.B.</t>
  </si>
  <si>
    <t>U.W.</t>
  </si>
  <si>
    <t>K.F.</t>
  </si>
  <si>
    <t>D.G.</t>
  </si>
  <si>
    <t>R.X.</t>
  </si>
  <si>
    <t>U.E.</t>
  </si>
  <si>
    <t>G.A.</t>
  </si>
  <si>
    <t>Z.L.</t>
  </si>
  <si>
    <t>P.Z.</t>
  </si>
  <si>
    <t>F.K.</t>
  </si>
  <si>
    <t>G.G.</t>
  </si>
  <si>
    <t>R.F.</t>
  </si>
  <si>
    <t>I.N.</t>
  </si>
  <si>
    <t>L.E.</t>
  </si>
  <si>
    <t>B.C.</t>
  </si>
  <si>
    <t>P.G.</t>
  </si>
  <si>
    <t>D.T.</t>
  </si>
  <si>
    <t>F.I.</t>
  </si>
  <si>
    <t>B.E.</t>
  </si>
  <si>
    <t>X.V.</t>
  </si>
  <si>
    <t>Row Labels</t>
  </si>
  <si>
    <t>Grand Total</t>
  </si>
  <si>
    <t>Count of Patient Initials</t>
  </si>
  <si>
    <t>Column Labels</t>
  </si>
  <si>
    <t>Age Group</t>
  </si>
  <si>
    <t>18–29</t>
  </si>
  <si>
    <t>30–39</t>
  </si>
  <si>
    <t>40–49</t>
  </si>
  <si>
    <t>50–59</t>
  </si>
  <si>
    <t>60+</t>
  </si>
  <si>
    <t>Condition</t>
  </si>
  <si>
    <t xml:space="preserve">Diabetes  </t>
  </si>
  <si>
    <t xml:space="preserve">Heart Disease  </t>
  </si>
  <si>
    <t xml:space="preserve">High Risk Sexual Behavior  </t>
  </si>
  <si>
    <t xml:space="preserve">Hx Violence  </t>
  </si>
  <si>
    <t xml:space="preserve">History of Injury  </t>
  </si>
  <si>
    <t>Count</t>
  </si>
  <si>
    <t>Count of Follow Up Appointments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</si>
</sst>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top"/>
    </xf>
    <xf numFmtId="0" fontId="0" fillId="0" borderId="0" xfId="0" applyAlignment="1">
      <alignment horizontal="center" vertical="top"/>
    </xf>
    <xf numFmtId="0" fontId="0" fillId="0" borderId="0" xfId="0" pivotButton="1"/>
    <xf numFmtId="0" fontId="0" fillId="0" borderId="0" xfId="0" applyAlignment="1">
      <alignment horizontal="left"/>
    </xf>
    <xf numFmtId="14" fontId="0" fillId="0" borderId="0" xfId="0" applyNumberFormat="1" applyAlignment="1">
      <alignment horizontal="center" vertical="top"/>
    </xf>
  </cellXfs>
  <cellStyles count="1">
    <cellStyle name="Normal" xfId="0" builtinId="0"/>
  </cellStyles>
  <dxfs count="21">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9" formatCode="m/d/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Primary Care.xlsx]Follow-Up Appointments by Gende!PivotTable1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Trend of Follow-Up Appointments by Gender and Age Group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'Follow-Up Appointments by Gende'!$B$3:$B$4</c:f>
              <c:strCache>
                <c:ptCount val="1"/>
                <c:pt idx="0">
                  <c:v>Female</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'Follow-Up Appointments by Gende'!$A$5:$A$9</c:f>
              <c:strCache>
                <c:ptCount val="4"/>
                <c:pt idx="0">
                  <c:v>18–29</c:v>
                </c:pt>
                <c:pt idx="1">
                  <c:v>30–39</c:v>
                </c:pt>
                <c:pt idx="2">
                  <c:v>40–49</c:v>
                </c:pt>
                <c:pt idx="3">
                  <c:v>60+</c:v>
                </c:pt>
              </c:strCache>
            </c:strRef>
          </c:cat>
          <c:val>
            <c:numRef>
              <c:f>'Follow-Up Appointments by Gende'!$B$5:$B$9</c:f>
              <c:numCache>
                <c:formatCode>General</c:formatCode>
                <c:ptCount val="4"/>
                <c:pt idx="0">
                  <c:v>2</c:v>
                </c:pt>
                <c:pt idx="1">
                  <c:v>4</c:v>
                </c:pt>
                <c:pt idx="2">
                  <c:v>2</c:v>
                </c:pt>
                <c:pt idx="3">
                  <c:v>6</c:v>
                </c:pt>
              </c:numCache>
            </c:numRef>
          </c:val>
          <c:smooth val="0"/>
          <c:extLst>
            <c:ext xmlns:c16="http://schemas.microsoft.com/office/drawing/2014/chart" uri="{C3380CC4-5D6E-409C-BE32-E72D297353CC}">
              <c16:uniqueId val="{00000000-85EF-443D-AC3E-20588004688A}"/>
            </c:ext>
          </c:extLst>
        </c:ser>
        <c:ser>
          <c:idx val="1"/>
          <c:order val="1"/>
          <c:tx>
            <c:strRef>
              <c:f>'Follow-Up Appointments by Gende'!$C$3:$C$4</c:f>
              <c:strCache>
                <c:ptCount val="1"/>
                <c:pt idx="0">
                  <c:v>Male</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'Follow-Up Appointments by Gende'!$A$5:$A$9</c:f>
              <c:strCache>
                <c:ptCount val="4"/>
                <c:pt idx="0">
                  <c:v>18–29</c:v>
                </c:pt>
                <c:pt idx="1">
                  <c:v>30–39</c:v>
                </c:pt>
                <c:pt idx="2">
                  <c:v>40–49</c:v>
                </c:pt>
                <c:pt idx="3">
                  <c:v>60+</c:v>
                </c:pt>
              </c:strCache>
            </c:strRef>
          </c:cat>
          <c:val>
            <c:numRef>
              <c:f>'Follow-Up Appointments by Gende'!$C$5:$C$9</c:f>
              <c:numCache>
                <c:formatCode>General</c:formatCode>
                <c:ptCount val="4"/>
                <c:pt idx="0">
                  <c:v>1</c:v>
                </c:pt>
                <c:pt idx="1">
                  <c:v>3</c:v>
                </c:pt>
                <c:pt idx="2">
                  <c:v>1</c:v>
                </c:pt>
                <c:pt idx="3">
                  <c:v>4</c:v>
                </c:pt>
              </c:numCache>
            </c:numRef>
          </c:val>
          <c:smooth val="0"/>
          <c:extLst>
            <c:ext xmlns:c16="http://schemas.microsoft.com/office/drawing/2014/chart" uri="{C3380CC4-5D6E-409C-BE32-E72D297353CC}">
              <c16:uniqueId val="{00000002-F9B1-46FB-B663-BD86820A1520}"/>
            </c:ext>
          </c:extLst>
        </c:ser>
        <c:dLbls>
          <c:showLegendKey val="0"/>
          <c:showVal val="0"/>
          <c:showCatName val="0"/>
          <c:showSerName val="0"/>
          <c:showPercent val="0"/>
          <c:showBubbleSize val="0"/>
        </c:dLbls>
        <c:marker val="1"/>
        <c:smooth val="0"/>
        <c:axId val="1363848736"/>
        <c:axId val="1363855456"/>
      </c:lineChart>
      <c:catAx>
        <c:axId val="136384873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Age Group</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63855456"/>
        <c:crosses val="autoZero"/>
        <c:auto val="1"/>
        <c:lblAlgn val="ctr"/>
        <c:lblOffset val="100"/>
        <c:noMultiLvlLbl val="0"/>
      </c:catAx>
      <c:valAx>
        <c:axId val="13638554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Number of Patients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384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Prevalence of Reported Health Conditions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COUNTIF!$B$1</c:f>
              <c:strCache>
                <c:ptCount val="1"/>
                <c:pt idx="0">
                  <c:v>Count</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COUNTIF!$A$2:$A$7</c:f>
              <c:strCache>
                <c:ptCount val="6"/>
                <c:pt idx="0">
                  <c:v>Diabetes  </c:v>
                </c:pt>
                <c:pt idx="1">
                  <c:v>Heart Disease  </c:v>
                </c:pt>
                <c:pt idx="2">
                  <c:v>High Risk Sexual Behavior  </c:v>
                </c:pt>
                <c:pt idx="3">
                  <c:v>Hx Violence  </c:v>
                </c:pt>
                <c:pt idx="4">
                  <c:v>History of Injury  </c:v>
                </c:pt>
                <c:pt idx="5">
                  <c:v>History of Malignancy</c:v>
                </c:pt>
              </c:strCache>
            </c:strRef>
          </c:cat>
          <c:val>
            <c:numRef>
              <c:f>COUNTIF!$B$2:$B$7</c:f>
              <c:numCache>
                <c:formatCode>General</c:formatCode>
                <c:ptCount val="6"/>
                <c:pt idx="0">
                  <c:v>26</c:v>
                </c:pt>
                <c:pt idx="1">
                  <c:v>20</c:v>
                </c:pt>
                <c:pt idx="2">
                  <c:v>25</c:v>
                </c:pt>
                <c:pt idx="3">
                  <c:v>31</c:v>
                </c:pt>
                <c:pt idx="4">
                  <c:v>20</c:v>
                </c:pt>
                <c:pt idx="5">
                  <c:v>30</c:v>
                </c:pt>
              </c:numCache>
            </c:numRef>
          </c:val>
          <c:extLst>
            <c:ext xmlns:c16="http://schemas.microsoft.com/office/drawing/2014/chart" uri="{C3380CC4-5D6E-409C-BE32-E72D297353CC}">
              <c16:uniqueId val="{00000000-64A7-4F31-B3C4-6602B34325AA}"/>
            </c:ext>
          </c:extLst>
        </c:ser>
        <c:dLbls>
          <c:showLegendKey val="0"/>
          <c:showVal val="0"/>
          <c:showCatName val="0"/>
          <c:showSerName val="0"/>
          <c:showPercent val="0"/>
          <c:showBubbleSize val="0"/>
        </c:dLbls>
        <c:gapWidth val="115"/>
        <c:overlap val="-20"/>
        <c:axId val="1739762992"/>
        <c:axId val="1739765392"/>
      </c:barChart>
      <c:catAx>
        <c:axId val="1739762992"/>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b="1">
                    <a:solidFill>
                      <a:sysClr val="windowText" lastClr="000000"/>
                    </a:solidFill>
                  </a:rPr>
                  <a:t>Nealth Condition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39765392"/>
        <c:crosses val="autoZero"/>
        <c:auto val="1"/>
        <c:lblAlgn val="ctr"/>
        <c:lblOffset val="100"/>
        <c:noMultiLvlLbl val="0"/>
      </c:catAx>
      <c:valAx>
        <c:axId val="1739765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Number of Patients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762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Primary Care.xlsx]Follow-Up vs. Age Group!PivotTable11</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Follow-Up Appointment vs.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'Follow-Up vs. Age Group'!$B$3:$B$4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'Follow-Up vs. Age Group'!$A$5:$A$10</c:f>
              <c:strCache>
                <c:ptCount val="5"/>
                <c:pt idx="0">
                  <c:v>18–29</c:v>
                </c:pt>
                <c:pt idx="1">
                  <c:v>30–39</c:v>
                </c:pt>
                <c:pt idx="2">
                  <c:v>40–49</c:v>
                </c:pt>
                <c:pt idx="3">
                  <c:v>50–59</c:v>
                </c:pt>
                <c:pt idx="4">
                  <c:v>60+</c:v>
                </c:pt>
              </c:strCache>
            </c:strRef>
          </c:cat>
          <c:val>
            <c:numRef>
              <c:f>'Follow-Up vs. Age Group'!$B$5:$B$10</c:f>
              <c:numCache>
                <c:formatCode>General</c:formatCode>
                <c:ptCount val="5"/>
                <c:pt idx="0">
                  <c:v>5</c:v>
                </c:pt>
                <c:pt idx="1">
                  <c:v>3</c:v>
                </c:pt>
                <c:pt idx="2">
                  <c:v>4</c:v>
                </c:pt>
                <c:pt idx="3">
                  <c:v>4</c:v>
                </c:pt>
                <c:pt idx="4">
                  <c:v>11</c:v>
                </c:pt>
              </c:numCache>
            </c:numRef>
          </c:val>
          <c:smooth val="0"/>
          <c:extLst>
            <c:ext xmlns:c16="http://schemas.microsoft.com/office/drawing/2014/chart" uri="{C3380CC4-5D6E-409C-BE32-E72D297353CC}">
              <c16:uniqueId val="{00000000-AF2D-47D3-8E7F-3CC96C253E3E}"/>
            </c:ext>
          </c:extLst>
        </c:ser>
        <c:ser>
          <c:idx val="1"/>
          <c:order val="1"/>
          <c:tx>
            <c:strRef>
              <c:f>'Follow-Up vs. Age Group'!$C$3:$C$4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'Follow-Up vs. Age Group'!$A$5:$A$10</c:f>
              <c:strCache>
                <c:ptCount val="5"/>
                <c:pt idx="0">
                  <c:v>18–29</c:v>
                </c:pt>
                <c:pt idx="1">
                  <c:v>30–39</c:v>
                </c:pt>
                <c:pt idx="2">
                  <c:v>40–49</c:v>
                </c:pt>
                <c:pt idx="3">
                  <c:v>50–59</c:v>
                </c:pt>
                <c:pt idx="4">
                  <c:v>60+</c:v>
                </c:pt>
              </c:strCache>
            </c:strRef>
          </c:cat>
          <c:val>
            <c:numRef>
              <c:f>'Follow-Up vs. Age Group'!$C$5:$C$10</c:f>
              <c:numCache>
                <c:formatCode>General</c:formatCode>
                <c:ptCount val="5"/>
                <c:pt idx="0">
                  <c:v>3</c:v>
                </c:pt>
                <c:pt idx="1">
                  <c:v>7</c:v>
                </c:pt>
                <c:pt idx="2">
                  <c:v>3</c:v>
                </c:pt>
                <c:pt idx="4">
                  <c:v>10</c:v>
                </c:pt>
              </c:numCache>
            </c:numRef>
          </c:val>
          <c:smooth val="0"/>
          <c:extLst>
            <c:ext xmlns:c16="http://schemas.microsoft.com/office/drawing/2014/chart" uri="{C3380CC4-5D6E-409C-BE32-E72D297353CC}">
              <c16:uniqueId val="{00000001-AF2D-47D3-8E7F-3CC96C253E3E}"/>
            </c:ext>
          </c:extLst>
        </c:ser>
        <c:dLbls>
          <c:showLegendKey val="0"/>
          <c:showVal val="0"/>
          <c:showCatName val="0"/>
          <c:showSerName val="0"/>
          <c:showPercent val="0"/>
          <c:showBubbleSize val="0"/>
        </c:dLbls>
        <c:marker val="1"/>
        <c:smooth val="0"/>
        <c:axId val="1752503104"/>
        <c:axId val="1752502624"/>
      </c:lineChart>
      <c:catAx>
        <c:axId val="1752503104"/>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2502624"/>
        <c:crosses val="autoZero"/>
        <c:auto val="1"/>
        <c:lblAlgn val="ctr"/>
        <c:lblOffset val="100"/>
        <c:noMultiLvlLbl val="0"/>
      </c:catAx>
      <c:valAx>
        <c:axId val="175250262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Count of Patients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5250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Primary Care.xlsx]Gender Distribution!PivotTable7</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Patient Gender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2733812949640287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7.9136690647481994E-2"/>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2733812949640287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9136690647481994E-2"/>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75000"/>
            </a:schemeClr>
          </a:solidFill>
          <a:ln>
            <a:noFill/>
          </a:ln>
          <a:effectLst/>
        </c:spPr>
        <c:dLbl>
          <c:idx val="0"/>
          <c:layout>
            <c:manualLayout>
              <c:x val="7.6485335638584048E-2"/>
              <c:y val="5.55880595473128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70C0"/>
          </a:solidFill>
          <a:ln>
            <a:noFill/>
          </a:ln>
          <a:effectLst/>
        </c:spPr>
        <c:dLbl>
          <c:idx val="0"/>
          <c:layout>
            <c:manualLayout>
              <c:x val="-7.9136690647481994E-2"/>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'Gender Distribution'!$B$3</c:f>
              <c:strCache>
                <c:ptCount val="1"/>
                <c:pt idx="0">
                  <c:v>Total</c:v>
                </c:pt>
              </c:strCache>
            </c:strRef>
          </c:tx>
          <c:spPr>
            <a:solidFill>
              <a:schemeClr val="accent1"/>
            </a:solidFill>
          </c:spPr>
          <c:dPt>
            <c:idx val="0"/>
            <c:bubble3D val="0"/>
            <c:spPr>
              <a:solidFill>
                <a:schemeClr val="accent5">
                  <a:lumMod val="75000"/>
                </a:schemeClr>
              </a:solidFill>
              <a:ln>
                <a:noFill/>
              </a:ln>
              <a:effectLst/>
            </c:spPr>
            <c:extLst>
              <c:ext xmlns:c16="http://schemas.microsoft.com/office/drawing/2014/chart" uri="{C3380CC4-5D6E-409C-BE32-E72D297353CC}">
                <c16:uniqueId val="{00000001-630C-40CE-8A84-D9B28AA034A3}"/>
              </c:ext>
            </c:extLst>
          </c:dPt>
          <c:dPt>
            <c:idx val="1"/>
            <c:bubble3D val="0"/>
            <c:spPr>
              <a:solidFill>
                <a:srgbClr val="0070C0"/>
              </a:solidFill>
              <a:ln>
                <a:noFill/>
              </a:ln>
              <a:effectLst/>
            </c:spPr>
            <c:extLst>
              <c:ext xmlns:c16="http://schemas.microsoft.com/office/drawing/2014/chart" uri="{C3380CC4-5D6E-409C-BE32-E72D297353CC}">
                <c16:uniqueId val="{00000003-630C-40CE-8A84-D9B28AA034A3}"/>
              </c:ext>
            </c:extLst>
          </c:dPt>
          <c:dLbls>
            <c:dLbl>
              <c:idx val="0"/>
              <c:layout>
                <c:manualLayout>
                  <c:x val="7.6485335638584048E-2"/>
                  <c:y val="5.55880595473128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0C-40CE-8A84-D9B28AA034A3}"/>
                </c:ext>
              </c:extLst>
            </c:dLbl>
            <c:dLbl>
              <c:idx val="1"/>
              <c:layout>
                <c:manualLayout>
                  <c:x val="-7.9136690647481994E-2"/>
                  <c:y val="6.4814814814814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0C-40CE-8A84-D9B28AA034A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Distribution'!$A$4:$A$6</c:f>
              <c:strCache>
                <c:ptCount val="2"/>
                <c:pt idx="0">
                  <c:v>Female</c:v>
                </c:pt>
                <c:pt idx="1">
                  <c:v>Male</c:v>
                </c:pt>
              </c:strCache>
            </c:strRef>
          </c:cat>
          <c:val>
            <c:numRef>
              <c:f>'Gender Distribution'!$B$4:$B$6</c:f>
              <c:numCache>
                <c:formatCode>General</c:formatCode>
                <c:ptCount val="2"/>
                <c:pt idx="0">
                  <c:v>27</c:v>
                </c:pt>
                <c:pt idx="1">
                  <c:v>23</c:v>
                </c:pt>
              </c:numCache>
            </c:numRef>
          </c:val>
          <c:extLst>
            <c:ext xmlns:c16="http://schemas.microsoft.com/office/drawing/2014/chart" uri="{C3380CC4-5D6E-409C-BE32-E72D297353CC}">
              <c16:uniqueId val="{00000004-630C-40CE-8A84-D9B28AA034A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Primary Care.xlsx]Age Group!PivotTable8</c:name>
    <c:fmtId val="7"/>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solidFill>
                  <a:sysClr val="windowText" lastClr="000000"/>
                </a:solidFill>
              </a:rPr>
              <a:t>Distribution of Patients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8.0555555555555561E-2"/>
              <c:y val="1.388888888888888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6.1111111111111012E-2"/>
              <c:y val="-7.407407407407411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5.5555555555555552E-2"/>
              <c:y val="-9.2592592592592587E-3"/>
            </c:manualLayout>
          </c:layout>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2.0833415354330708E-2"/>
              <c:y val="9.259269169023756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5.2777777777777778E-2"/>
              <c:y val="8.796296296296296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6"/>
        <c:dLbl>
          <c:idx val="0"/>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6.1111111111111012E-2"/>
              <c:y val="-7.407407407407411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dLbl>
          <c:idx val="0"/>
          <c:layout>
            <c:manualLayout>
              <c:x val="8.0555555555555561E-2"/>
              <c:y val="1.388888888888888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5.2777777777777778E-2"/>
              <c:y val="8.796296296296296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2.0833415354330708E-2"/>
              <c:y val="9.259269169023756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5.5555555555555552E-2"/>
              <c:y val="-9.2592592592592587E-3"/>
            </c:manualLayout>
          </c:layou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'Age Group'!$B$3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D6-4D0B-9745-F5686009AA8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D6-4D0B-9745-F5686009AA8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D6-4D0B-9745-F5686009AA8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BD6-4D0B-9745-F5686009AA8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BD6-4D0B-9745-F5686009AA8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'Age Group'!$A$4:$A$9</c:f>
              <c:strCache>
                <c:ptCount val="5"/>
                <c:pt idx="0">
                  <c:v>18–29</c:v>
                </c:pt>
                <c:pt idx="1">
                  <c:v>30–39</c:v>
                </c:pt>
                <c:pt idx="2">
                  <c:v>40–49</c:v>
                </c:pt>
                <c:pt idx="3">
                  <c:v>50–59</c:v>
                </c:pt>
                <c:pt idx="4">
                  <c:v>60+</c:v>
                </c:pt>
              </c:strCache>
            </c:strRef>
          </c:cat>
          <c:val>
            <c:numRef>
              <c:f>'Age Group'!$B$4:$B$9</c:f>
              <c:numCache>
                <c:formatCode>General</c:formatCode>
                <c:ptCount val="5"/>
                <c:pt idx="0">
                  <c:v>8</c:v>
                </c:pt>
                <c:pt idx="1">
                  <c:v>10</c:v>
                </c:pt>
                <c:pt idx="2">
                  <c:v>7</c:v>
                </c:pt>
                <c:pt idx="3">
                  <c:v>4</c:v>
                </c:pt>
                <c:pt idx="4">
                  <c:v>21</c:v>
                </c:pt>
              </c:numCache>
            </c:numRef>
          </c:val>
          <c:extLst>
            <c:ext xmlns:c16="http://schemas.microsoft.com/office/drawing/2014/chart" uri="{C3380CC4-5D6E-409C-BE32-E72D297353CC}">
              <c16:uniqueId val="{0000000A-7BD6-4D0B-9745-F5686009AA8A}"/>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Primary Care.xlsx]Follow Up vs. Treatment Plan!PivotTable10</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Follow-Up Appointment vs. Treatment Plan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83808769149495E-2"/>
          <c:y val="0.22553447621443282"/>
          <c:w val="0.79781385028512608"/>
          <c:h val="0.52857524665973421"/>
        </c:manualLayout>
      </c:layout>
      <c:barChart>
        <c:barDir val="bar"/>
        <c:grouping val="clustered"/>
        <c:varyColors val="0"/>
        <c:ser>
          <c:idx val="0"/>
          <c:order val="0"/>
          <c:tx>
            <c:strRef>
              <c:f>'Follow Up vs. Treatment Plan'!$B$3:$B$4</c:f>
              <c:strCache>
                <c:ptCount val="1"/>
                <c:pt idx="0">
                  <c:v>No</c:v>
                </c:pt>
              </c:strCache>
            </c:strRef>
          </c:tx>
          <c:spPr>
            <a:solidFill>
              <a:srgbClr val="C00000"/>
            </a:solidFill>
            <a:ln>
              <a:noFill/>
            </a:ln>
            <a:effectLst/>
          </c:spPr>
          <c:invertIfNegative val="0"/>
          <c:cat>
            <c:strRef>
              <c:f>'Follow Up vs. Treatment Plan'!$A$5:$A$7</c:f>
              <c:strCache>
                <c:ptCount val="2"/>
                <c:pt idx="0">
                  <c:v>No</c:v>
                </c:pt>
                <c:pt idx="1">
                  <c:v>Yes</c:v>
                </c:pt>
              </c:strCache>
            </c:strRef>
          </c:cat>
          <c:val>
            <c:numRef>
              <c:f>'Follow Up vs. Treatment Plan'!$B$5:$B$7</c:f>
              <c:numCache>
                <c:formatCode>General</c:formatCode>
                <c:ptCount val="2"/>
                <c:pt idx="0">
                  <c:v>13</c:v>
                </c:pt>
                <c:pt idx="1">
                  <c:v>14</c:v>
                </c:pt>
              </c:numCache>
            </c:numRef>
          </c:val>
          <c:extLst>
            <c:ext xmlns:c16="http://schemas.microsoft.com/office/drawing/2014/chart" uri="{C3380CC4-5D6E-409C-BE32-E72D297353CC}">
              <c16:uniqueId val="{00000000-B516-4EDF-8BDC-5A868BE45053}"/>
            </c:ext>
          </c:extLst>
        </c:ser>
        <c:ser>
          <c:idx val="1"/>
          <c:order val="1"/>
          <c:tx>
            <c:strRef>
              <c:f>'Follow Up vs. Treatment Plan'!$C$3:$C$4</c:f>
              <c:strCache>
                <c:ptCount val="1"/>
                <c:pt idx="0">
                  <c:v>Yes</c:v>
                </c:pt>
              </c:strCache>
            </c:strRef>
          </c:tx>
          <c:spPr>
            <a:solidFill>
              <a:srgbClr val="00B050"/>
            </a:solidFill>
            <a:ln>
              <a:noFill/>
            </a:ln>
            <a:effectLst/>
          </c:spPr>
          <c:invertIfNegative val="0"/>
          <c:cat>
            <c:strRef>
              <c:f>'Follow Up vs. Treatment Plan'!$A$5:$A$7</c:f>
              <c:strCache>
                <c:ptCount val="2"/>
                <c:pt idx="0">
                  <c:v>No</c:v>
                </c:pt>
                <c:pt idx="1">
                  <c:v>Yes</c:v>
                </c:pt>
              </c:strCache>
            </c:strRef>
          </c:cat>
          <c:val>
            <c:numRef>
              <c:f>'Follow Up vs. Treatment Plan'!$C$5:$C$7</c:f>
              <c:numCache>
                <c:formatCode>General</c:formatCode>
                <c:ptCount val="2"/>
                <c:pt idx="0">
                  <c:v>8</c:v>
                </c:pt>
                <c:pt idx="1">
                  <c:v>15</c:v>
                </c:pt>
              </c:numCache>
            </c:numRef>
          </c:val>
          <c:extLst>
            <c:ext xmlns:c16="http://schemas.microsoft.com/office/drawing/2014/chart" uri="{C3380CC4-5D6E-409C-BE32-E72D297353CC}">
              <c16:uniqueId val="{00000001-B516-4EDF-8BDC-5A868BE45053}"/>
            </c:ext>
          </c:extLst>
        </c:ser>
        <c:dLbls>
          <c:showLegendKey val="0"/>
          <c:showVal val="0"/>
          <c:showCatName val="0"/>
          <c:showSerName val="0"/>
          <c:showPercent val="0"/>
          <c:showBubbleSize val="0"/>
        </c:dLbls>
        <c:gapWidth val="100"/>
        <c:axId val="1587756912"/>
        <c:axId val="1587758352"/>
      </c:barChart>
      <c:catAx>
        <c:axId val="1587756912"/>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Trearment Plan Documented</a:t>
                </a:r>
              </a:p>
            </c:rich>
          </c:tx>
          <c:layout>
            <c:manualLayout>
              <c:xMode val="edge"/>
              <c:yMode val="edge"/>
              <c:x val="2.6878716458748154E-2"/>
              <c:y val="0.2255344762144328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crossAx val="1587758352"/>
        <c:crosses val="autoZero"/>
        <c:auto val="1"/>
        <c:lblAlgn val="ctr"/>
        <c:lblOffset val="100"/>
        <c:noMultiLvlLbl val="0"/>
      </c:catAx>
      <c:valAx>
        <c:axId val="1587758352"/>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Number of Patients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775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211666</xdr:colOff>
      <xdr:row>0</xdr:row>
      <xdr:rowOff>0</xdr:rowOff>
    </xdr:from>
    <xdr:to>
      <xdr:col>10</xdr:col>
      <xdr:colOff>238746</xdr:colOff>
      <xdr:row>14</xdr:row>
      <xdr:rowOff>157178</xdr:rowOff>
    </xdr:to>
    <xdr:graphicFrame macro="">
      <xdr:nvGraphicFramePr>
        <xdr:cNvPr id="2" name="Chart 1">
          <a:extLst>
            <a:ext uri="{FF2B5EF4-FFF2-40B4-BE49-F238E27FC236}">
              <a16:creationId xmlns:a16="http://schemas.microsoft.com/office/drawing/2014/main" id="{505FC6BB-68E5-4EC6-BE1A-889F9EA5F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254707</xdr:colOff>
      <xdr:row>0</xdr:row>
      <xdr:rowOff>0</xdr:rowOff>
    </xdr:from>
    <xdr:to>
      <xdr:col>17</xdr:col>
      <xdr:colOff>283195</xdr:colOff>
      <xdr:row>14</xdr:row>
      <xdr:rowOff>165099</xdr:rowOff>
    </xdr:to>
    <xdr:graphicFrame macro="">
      <xdr:nvGraphicFramePr>
        <xdr:cNvPr id="3" name="Chart 2">
          <a:extLst>
            <a:ext uri="{FF2B5EF4-FFF2-40B4-BE49-F238E27FC236}">
              <a16:creationId xmlns:a16="http://schemas.microsoft.com/office/drawing/2014/main" id="{C4420246-6414-4FE4-88FF-CB3BE90D9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257257</xdr:colOff>
      <xdr:row>14</xdr:row>
      <xdr:rowOff>169753</xdr:rowOff>
    </xdr:from>
    <xdr:to>
      <xdr:col>17</xdr:col>
      <xdr:colOff>283827</xdr:colOff>
      <xdr:row>27</xdr:row>
      <xdr:rowOff>38749</xdr:rowOff>
    </xdr:to>
    <xdr:graphicFrame macro="">
      <xdr:nvGraphicFramePr>
        <xdr:cNvPr id="4" name="Chart 3">
          <a:extLst>
            <a:ext uri="{FF2B5EF4-FFF2-40B4-BE49-F238E27FC236}">
              <a16:creationId xmlns:a16="http://schemas.microsoft.com/office/drawing/2014/main" id="{F45B9DCC-ABE4-456F-BAEA-10F09CEC7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198606</xdr:colOff>
      <xdr:row>14</xdr:row>
      <xdr:rowOff>173182</xdr:rowOff>
    </xdr:from>
    <xdr:to>
      <xdr:col>10</xdr:col>
      <xdr:colOff>251523</xdr:colOff>
      <xdr:row>27</xdr:row>
      <xdr:rowOff>35661</xdr:rowOff>
    </xdr:to>
    <xdr:graphicFrame macro="">
      <xdr:nvGraphicFramePr>
        <xdr:cNvPr id="5" name="Chart 4">
          <a:extLst>
            <a:ext uri="{FF2B5EF4-FFF2-40B4-BE49-F238E27FC236}">
              <a16:creationId xmlns:a16="http://schemas.microsoft.com/office/drawing/2014/main" id="{8D0CFCCF-74CD-4902-8D3F-8B5DB48A1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276519</xdr:colOff>
      <xdr:row>0</xdr:row>
      <xdr:rowOff>0</xdr:rowOff>
    </xdr:from>
    <xdr:to>
      <xdr:col>25</xdr:col>
      <xdr:colOff>95456</xdr:colOff>
      <xdr:row>14</xdr:row>
      <xdr:rowOff>163466</xdr:rowOff>
    </xdr:to>
    <xdr:graphicFrame macro="">
      <xdr:nvGraphicFramePr>
        <xdr:cNvPr id="6" name="Chart 5">
          <a:extLst>
            <a:ext uri="{FF2B5EF4-FFF2-40B4-BE49-F238E27FC236}">
              <a16:creationId xmlns:a16="http://schemas.microsoft.com/office/drawing/2014/main" id="{E7D244D2-2559-4D4B-BAFA-C58FC478A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283828</xdr:colOff>
      <xdr:row>14</xdr:row>
      <xdr:rowOff>170049</xdr:rowOff>
    </xdr:from>
    <xdr:to>
      <xdr:col>25</xdr:col>
      <xdr:colOff>110185</xdr:colOff>
      <xdr:row>27</xdr:row>
      <xdr:rowOff>37723</xdr:rowOff>
    </xdr:to>
    <xdr:graphicFrame macro="">
      <xdr:nvGraphicFramePr>
        <xdr:cNvPr id="7" name="Chart 6">
          <a:extLst>
            <a:ext uri="{FF2B5EF4-FFF2-40B4-BE49-F238E27FC236}">
              <a16:creationId xmlns:a16="http://schemas.microsoft.com/office/drawing/2014/main" id="{0835FB66-51C8-4448-BCCC-25761001B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67349</xdr:colOff>
      <xdr:row>15</xdr:row>
      <xdr:rowOff>134065</xdr:rowOff>
    </xdr:from>
    <xdr:to>
      <xdr:col>3</xdr:col>
      <xdr:colOff>59184</xdr:colOff>
      <xdr:row>25</xdr:row>
      <xdr:rowOff>131949</xdr:rowOff>
    </xdr:to>
    <mc:AlternateContent xmlns:mc="http://schemas.openxmlformats.org/markup-compatibility/2006" xmlns:a14="http://schemas.microsoft.com/office/drawing/2010/main">
      <mc:Choice Requires="a14">
        <xdr:graphicFrame macro="">
          <xdr:nvGraphicFramePr>
            <xdr:cNvPr id="10" name="Age Group">
              <a:extLst>
                <a:ext uri="{FF2B5EF4-FFF2-40B4-BE49-F238E27FC236}">
                  <a16:creationId xmlns:a16="http://schemas.microsoft.com/office/drawing/2014/main" id="{24B59357-C5A1-C796-B02E-02A557BE8B3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7349" y="2942719"/>
              <a:ext cx="1823566" cy="187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9622</xdr:colOff>
      <xdr:row>4</xdr:row>
      <xdr:rowOff>173182</xdr:rowOff>
    </xdr:from>
    <xdr:to>
      <xdr:col>3</xdr:col>
      <xdr:colOff>20013</xdr:colOff>
      <xdr:row>10</xdr:row>
      <xdr:rowOff>48107</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D22AFCB7-C0AF-17CE-2A5F-E3A1851B6A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22" y="922156"/>
              <a:ext cx="1842122" cy="998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53.478056250002" createdVersion="8" refreshedVersion="8" minRefreshableVersion="3" recordCount="50" xr:uid="{CD543ECA-A175-4847-AA91-3DF8E3F390A5}">
  <cacheSource type="worksheet">
    <worksheetSource name="PatientData"/>
  </cacheSource>
  <cacheFields count="19">
    <cacheField name="Patient Initials" numFmtId="0">
      <sharedItems/>
    </cacheField>
    <cacheField name="Date of Birth" numFmtId="14">
      <sharedItems containsSemiMixedTypes="0" containsNonDate="0" containsDate="1" containsString="0" minDate="1937-04-28T00:00:00" maxDate="2005-11-24T00:00:00"/>
    </cacheField>
    <cacheField name="Age" numFmtId="0">
      <sharedItems containsSemiMixedTypes="0" containsString="0" containsNumber="1" containsInteger="1" minValue="19" maxValue="88"/>
    </cacheField>
    <cacheField name="Age Group" numFmtId="0">
      <sharedItems count="5">
        <s v="60+"/>
        <s v="18–29"/>
        <s v="40–49"/>
        <s v="30–39"/>
        <s v="50–59"/>
      </sharedItems>
    </cacheField>
    <cacheField name="Gender" numFmtId="0">
      <sharedItems count="2">
        <s v="Female"/>
        <s v="Male"/>
      </sharedItems>
    </cacheField>
    <cacheField name="Diabetes" numFmtId="0">
      <sharedItems count="2">
        <s v="Yes"/>
        <s v="No"/>
      </sharedItems>
    </cacheField>
    <cacheField name="Heart Disease" numFmtId="0">
      <sharedItems/>
    </cacheField>
    <cacheField name="High Risk Sexual Behavior" numFmtId="0">
      <sharedItems/>
    </cacheField>
    <cacheField name="Hx Violence" numFmtId="0">
      <sharedItems/>
    </cacheField>
    <cacheField name="History of Injury" numFmtId="0">
      <sharedItems/>
    </cacheField>
    <cacheField name="History of Malignancy" numFmtId="0">
      <sharedItems/>
    </cacheField>
    <cacheField name="Other" numFmtId="0">
      <sharedItems/>
    </cacheField>
    <cacheField name="Consents Up to Date" numFmtId="0">
      <sharedItems/>
    </cacheField>
    <cacheField name="Completed History" numFmtId="0">
      <sharedItems/>
    </cacheField>
    <cacheField name="Labc Completed" numFmtId="0">
      <sharedItems/>
    </cacheField>
    <cacheField name="Dx Test Ordered" numFmtId="0">
      <sharedItems/>
    </cacheField>
    <cacheField name="Education Provided" numFmtId="0">
      <sharedItems/>
    </cacheField>
    <cacheField name="Treatment Plan Document" numFmtId="0">
      <sharedItems count="2">
        <s v="Yes"/>
        <s v="No"/>
      </sharedItems>
    </cacheField>
    <cacheField name="Follow Up Appointments" numFmtId="0">
      <sharedItems count="2">
        <s v="Yes"/>
        <s v="No"/>
      </sharedItems>
    </cacheField>
  </cacheFields>
  <extLst>
    <ext xmlns:x14="http://schemas.microsoft.com/office/spreadsheetml/2009/9/main" uri="{725AE2AE-9491-48be-B2B4-4EB974FC3084}">
      <x14:pivotCacheDefinition pivotCacheId="2022870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L.X."/>
    <d v="1958-08-25T00:00:00"/>
    <n v="66"/>
    <x v="0"/>
    <x v="0"/>
    <x v="0"/>
    <s v="Yes"/>
    <s v="No"/>
    <s v="No"/>
    <s v="No"/>
    <s v="Yes"/>
    <s v=""/>
    <s v="No"/>
    <s v="Yes"/>
    <s v="Yes"/>
    <s v="No"/>
    <s v="No"/>
    <x v="0"/>
    <x v="0"/>
  </r>
  <r>
    <s v="J.J."/>
    <d v="1998-03-07T00:00:00"/>
    <n v="27"/>
    <x v="1"/>
    <x v="0"/>
    <x v="1"/>
    <s v="No"/>
    <s v="Yes"/>
    <s v="Yes"/>
    <s v="Yes"/>
    <s v="Yes"/>
    <s v=""/>
    <s v="No"/>
    <s v="No"/>
    <s v="Yes"/>
    <s v="Yes"/>
    <s v="No"/>
    <x v="0"/>
    <x v="0"/>
  </r>
  <r>
    <s v="M.G."/>
    <d v="1956-04-30T00:00:00"/>
    <n v="69"/>
    <x v="0"/>
    <x v="0"/>
    <x v="0"/>
    <s v="No"/>
    <s v="No"/>
    <s v="No"/>
    <s v="Yes"/>
    <s v="No"/>
    <s v=""/>
    <s v="Yes"/>
    <s v="Yes"/>
    <s v="No"/>
    <s v="No"/>
    <s v="No"/>
    <x v="0"/>
    <x v="1"/>
  </r>
  <r>
    <s v="T.N."/>
    <d v="1947-06-16T00:00:00"/>
    <n v="78"/>
    <x v="0"/>
    <x v="1"/>
    <x v="1"/>
    <s v="Yes"/>
    <s v="Yes"/>
    <s v="Yes"/>
    <s v="No"/>
    <s v="Yes"/>
    <s v=""/>
    <s v="Yes"/>
    <s v="Yes"/>
    <s v="Yes"/>
    <s v="Yes"/>
    <s v="Yes"/>
    <x v="1"/>
    <x v="0"/>
  </r>
  <r>
    <s v="A.S."/>
    <d v="2005-07-12T00:00:00"/>
    <n v="20"/>
    <x v="1"/>
    <x v="0"/>
    <x v="0"/>
    <s v="No"/>
    <s v="Yes"/>
    <s v="Yes"/>
    <s v="No"/>
    <s v="Yes"/>
    <s v=""/>
    <s v="No"/>
    <s v="Yes"/>
    <s v="Yes"/>
    <s v="Yes"/>
    <s v="No"/>
    <x v="0"/>
    <x v="1"/>
  </r>
  <r>
    <s v="L.P."/>
    <d v="1979-06-27T00:00:00"/>
    <n v="46"/>
    <x v="2"/>
    <x v="1"/>
    <x v="0"/>
    <s v="No"/>
    <s v="Yes"/>
    <s v="Yes"/>
    <s v="Yes"/>
    <s v="No"/>
    <s v=""/>
    <s v="No"/>
    <s v="No"/>
    <s v="No"/>
    <s v="No"/>
    <s v="No"/>
    <x v="0"/>
    <x v="1"/>
  </r>
  <r>
    <s v="G.X."/>
    <d v="1997-10-17T00:00:00"/>
    <n v="27"/>
    <x v="1"/>
    <x v="0"/>
    <x v="0"/>
    <s v="Yes"/>
    <s v="No"/>
    <s v="No"/>
    <s v="Yes"/>
    <s v="No"/>
    <s v=""/>
    <s v="No"/>
    <s v="No"/>
    <s v="No"/>
    <s v="Yes"/>
    <s v="Yes"/>
    <x v="0"/>
    <x v="0"/>
  </r>
  <r>
    <s v="B.V."/>
    <d v="1990-06-13T00:00:00"/>
    <n v="35"/>
    <x v="3"/>
    <x v="0"/>
    <x v="1"/>
    <s v="No"/>
    <s v="Yes"/>
    <s v="Yes"/>
    <s v="Yes"/>
    <s v="Yes"/>
    <s v=""/>
    <s v="Yes"/>
    <s v="Yes"/>
    <s v="Yes"/>
    <s v="Yes"/>
    <s v="No"/>
    <x v="0"/>
    <x v="0"/>
  </r>
  <r>
    <s v="Q.K."/>
    <d v="2000-07-12T00:00:00"/>
    <n v="25"/>
    <x v="1"/>
    <x v="0"/>
    <x v="0"/>
    <s v="No"/>
    <s v="Yes"/>
    <s v="No"/>
    <s v="No"/>
    <s v="No"/>
    <s v=""/>
    <s v="No"/>
    <s v="Yes"/>
    <s v="Yes"/>
    <s v="No"/>
    <s v="No"/>
    <x v="0"/>
    <x v="1"/>
  </r>
  <r>
    <s v="E.O."/>
    <d v="1979-05-08T00:00:00"/>
    <n v="46"/>
    <x v="2"/>
    <x v="1"/>
    <x v="0"/>
    <s v="No"/>
    <s v="Yes"/>
    <s v="Yes"/>
    <s v="Yes"/>
    <s v="Yes"/>
    <s v=""/>
    <s v="Yes"/>
    <s v="Yes"/>
    <s v="No"/>
    <s v="No"/>
    <s v="No"/>
    <x v="0"/>
    <x v="1"/>
  </r>
  <r>
    <s v="Q.J."/>
    <d v="1979-02-11T00:00:00"/>
    <n v="46"/>
    <x v="2"/>
    <x v="0"/>
    <x v="1"/>
    <s v="No"/>
    <s v="Yes"/>
    <s v="Yes"/>
    <s v="No"/>
    <s v="Yes"/>
    <s v=""/>
    <s v="Yes"/>
    <s v="Yes"/>
    <s v="Yes"/>
    <s v="Yes"/>
    <s v="Yes"/>
    <x v="1"/>
    <x v="0"/>
  </r>
  <r>
    <s v="T.R."/>
    <d v="1980-08-01T00:00:00"/>
    <n v="44"/>
    <x v="2"/>
    <x v="1"/>
    <x v="1"/>
    <s v="No"/>
    <s v="Yes"/>
    <s v="Yes"/>
    <s v="No"/>
    <s v="Yes"/>
    <s v=""/>
    <s v="No"/>
    <s v="No"/>
    <s v="No"/>
    <s v="No"/>
    <s v="No"/>
    <x v="1"/>
    <x v="0"/>
  </r>
  <r>
    <s v="H.P."/>
    <d v="1999-09-24T00:00:00"/>
    <n v="25"/>
    <x v="1"/>
    <x v="1"/>
    <x v="1"/>
    <s v="Yes"/>
    <s v="No"/>
    <s v="Yes"/>
    <s v="Yes"/>
    <s v="No"/>
    <s v=""/>
    <s v="No"/>
    <s v="No"/>
    <s v="Yes"/>
    <s v="Yes"/>
    <s v="No"/>
    <x v="1"/>
    <x v="1"/>
  </r>
  <r>
    <s v="Z.W."/>
    <d v="1980-05-18T00:00:00"/>
    <n v="45"/>
    <x v="2"/>
    <x v="0"/>
    <x v="1"/>
    <s v="Yes"/>
    <s v="No"/>
    <s v="No"/>
    <s v="No"/>
    <s v="Yes"/>
    <s v=""/>
    <s v="Yes"/>
    <s v="No"/>
    <s v="No"/>
    <s v="Yes"/>
    <s v="No"/>
    <x v="1"/>
    <x v="1"/>
  </r>
  <r>
    <s v="M.Z."/>
    <d v="2002-08-20T00:00:00"/>
    <n v="22"/>
    <x v="1"/>
    <x v="1"/>
    <x v="0"/>
    <s v="No"/>
    <s v="Yes"/>
    <s v="No"/>
    <s v="Yes"/>
    <s v="Yes"/>
    <s v=""/>
    <s v="No"/>
    <s v="No"/>
    <s v="Yes"/>
    <s v="No"/>
    <s v="No"/>
    <x v="1"/>
    <x v="1"/>
  </r>
  <r>
    <s v="B.M."/>
    <d v="1958-08-19T00:00:00"/>
    <n v="66"/>
    <x v="0"/>
    <x v="1"/>
    <x v="1"/>
    <s v="No"/>
    <s v="No"/>
    <s v="Yes"/>
    <s v="No"/>
    <s v="Yes"/>
    <s v=""/>
    <s v="No"/>
    <s v="Yes"/>
    <s v="Yes"/>
    <s v="No"/>
    <s v="No"/>
    <x v="0"/>
    <x v="0"/>
  </r>
  <r>
    <s v="M.Z."/>
    <d v="1958-03-09T00:00:00"/>
    <n v="67"/>
    <x v="0"/>
    <x v="0"/>
    <x v="0"/>
    <s v="No"/>
    <s v="No"/>
    <s v="Yes"/>
    <s v="No"/>
    <s v="Yes"/>
    <s v=""/>
    <s v="Yes"/>
    <s v="Yes"/>
    <s v="No"/>
    <s v="No"/>
    <s v="Yes"/>
    <x v="0"/>
    <x v="0"/>
  </r>
  <r>
    <s v="U.A."/>
    <d v="1967-07-31T00:00:00"/>
    <n v="57"/>
    <x v="4"/>
    <x v="0"/>
    <x v="0"/>
    <s v="Yes"/>
    <s v="Yes"/>
    <s v="Yes"/>
    <s v="No"/>
    <s v="No"/>
    <s v=""/>
    <s v="Yes"/>
    <s v="No"/>
    <s v="Yes"/>
    <s v="Yes"/>
    <s v="Yes"/>
    <x v="0"/>
    <x v="1"/>
  </r>
  <r>
    <s v="Q.U."/>
    <d v="1948-12-14T00:00:00"/>
    <n v="76"/>
    <x v="0"/>
    <x v="1"/>
    <x v="0"/>
    <s v="Yes"/>
    <s v="Yes"/>
    <s v="Yes"/>
    <s v="No"/>
    <s v="Yes"/>
    <s v=""/>
    <s v="No"/>
    <s v="Yes"/>
    <s v="Yes"/>
    <s v="Yes"/>
    <s v="No"/>
    <x v="0"/>
    <x v="1"/>
  </r>
  <r>
    <s v="A.T."/>
    <d v="1992-06-28T00:00:00"/>
    <n v="33"/>
    <x v="3"/>
    <x v="1"/>
    <x v="0"/>
    <s v="Yes"/>
    <s v="Yes"/>
    <s v="Yes"/>
    <s v="No"/>
    <s v="Yes"/>
    <s v=""/>
    <s v="Yes"/>
    <s v="Yes"/>
    <s v="No"/>
    <s v="No"/>
    <s v="Yes"/>
    <x v="1"/>
    <x v="1"/>
  </r>
  <r>
    <s v="N.T."/>
    <d v="1963-06-22T00:00:00"/>
    <n v="62"/>
    <x v="0"/>
    <x v="0"/>
    <x v="0"/>
    <s v="Yes"/>
    <s v="Yes"/>
    <s v="No"/>
    <s v="Yes"/>
    <s v="Yes"/>
    <s v=""/>
    <s v="No"/>
    <s v="No"/>
    <s v="Yes"/>
    <s v="No"/>
    <s v="No"/>
    <x v="1"/>
    <x v="0"/>
  </r>
  <r>
    <s v="A.N."/>
    <d v="1945-03-05T00:00:00"/>
    <n v="80"/>
    <x v="0"/>
    <x v="1"/>
    <x v="1"/>
    <s v="Yes"/>
    <s v="Yes"/>
    <s v="Yes"/>
    <s v="No"/>
    <s v="No"/>
    <s v=""/>
    <s v="Yes"/>
    <s v="No"/>
    <s v="Yes"/>
    <s v="Yes"/>
    <s v="Yes"/>
    <x v="0"/>
    <x v="0"/>
  </r>
  <r>
    <s v="G.C."/>
    <d v="1937-04-28T00:00:00"/>
    <n v="88"/>
    <x v="0"/>
    <x v="1"/>
    <x v="0"/>
    <s v="No"/>
    <s v="No"/>
    <s v="Yes"/>
    <s v="No"/>
    <s v="Yes"/>
    <s v=""/>
    <s v="Yes"/>
    <s v="Yes"/>
    <s v="No"/>
    <s v="No"/>
    <s v="No"/>
    <x v="1"/>
    <x v="1"/>
  </r>
  <r>
    <s v="P.X."/>
    <d v="1942-11-06T00:00:00"/>
    <n v="82"/>
    <x v="0"/>
    <x v="0"/>
    <x v="0"/>
    <s v="Yes"/>
    <s v="No"/>
    <s v="Yes"/>
    <s v="Yes"/>
    <s v="Yes"/>
    <s v=""/>
    <s v="No"/>
    <s v="No"/>
    <s v="Yes"/>
    <s v="No"/>
    <s v="No"/>
    <x v="1"/>
    <x v="0"/>
  </r>
  <r>
    <s v="B.F."/>
    <d v="1961-12-21T00:00:00"/>
    <n v="63"/>
    <x v="0"/>
    <x v="0"/>
    <x v="0"/>
    <s v="No"/>
    <s v="No"/>
    <s v="Yes"/>
    <s v="No"/>
    <s v="No"/>
    <s v=""/>
    <s v="No"/>
    <s v="Yes"/>
    <s v="Yes"/>
    <s v="No"/>
    <s v="Yes"/>
    <x v="0"/>
    <x v="0"/>
  </r>
  <r>
    <s v="F.L."/>
    <d v="1943-09-13T00:00:00"/>
    <n v="81"/>
    <x v="0"/>
    <x v="1"/>
    <x v="1"/>
    <s v="No"/>
    <s v="No"/>
    <s v="No"/>
    <s v="No"/>
    <s v="No"/>
    <s v=""/>
    <s v="No"/>
    <s v="No"/>
    <s v="Yes"/>
    <s v="No"/>
    <s v="No"/>
    <x v="1"/>
    <x v="0"/>
  </r>
  <r>
    <s v="M.P."/>
    <d v="1987-09-03T00:00:00"/>
    <n v="37"/>
    <x v="3"/>
    <x v="0"/>
    <x v="0"/>
    <s v="No"/>
    <s v="No"/>
    <s v="Yes"/>
    <s v="No"/>
    <s v="Yes"/>
    <s v=""/>
    <s v="No"/>
    <s v="No"/>
    <s v="No"/>
    <s v="Yes"/>
    <s v="Yes"/>
    <x v="0"/>
    <x v="0"/>
  </r>
  <r>
    <s v="L.B."/>
    <d v="1956-01-11T00:00:00"/>
    <n v="69"/>
    <x v="0"/>
    <x v="0"/>
    <x v="1"/>
    <s v="Yes"/>
    <s v="Yes"/>
    <s v="Yes"/>
    <s v="Yes"/>
    <s v="No"/>
    <s v=""/>
    <s v="No"/>
    <s v="Yes"/>
    <s v="No"/>
    <s v="No"/>
    <s v="Yes"/>
    <x v="1"/>
    <x v="0"/>
  </r>
  <r>
    <s v="U.W."/>
    <d v="1991-01-13T00:00:00"/>
    <n v="34"/>
    <x v="3"/>
    <x v="0"/>
    <x v="1"/>
    <s v="Yes"/>
    <s v="Yes"/>
    <s v="Yes"/>
    <s v="Yes"/>
    <s v="No"/>
    <s v=""/>
    <s v="Yes"/>
    <s v="Yes"/>
    <s v="Yes"/>
    <s v="Yes"/>
    <s v="Yes"/>
    <x v="0"/>
    <x v="0"/>
  </r>
  <r>
    <s v="K.F."/>
    <d v="1959-06-22T00:00:00"/>
    <n v="66"/>
    <x v="0"/>
    <x v="0"/>
    <x v="1"/>
    <s v="No"/>
    <s v="No"/>
    <s v="No"/>
    <s v="No"/>
    <s v="Yes"/>
    <s v=""/>
    <s v="No"/>
    <s v="No"/>
    <s v="No"/>
    <s v="Yes"/>
    <s v="No"/>
    <x v="0"/>
    <x v="1"/>
  </r>
  <r>
    <s v="D.G."/>
    <d v="1992-10-04T00:00:00"/>
    <n v="32"/>
    <x v="3"/>
    <x v="1"/>
    <x v="1"/>
    <s v="No"/>
    <s v="Yes"/>
    <s v="Yes"/>
    <s v="No"/>
    <s v="No"/>
    <s v=""/>
    <s v="No"/>
    <s v="No"/>
    <s v="No"/>
    <s v="Yes"/>
    <s v="Yes"/>
    <x v="0"/>
    <x v="0"/>
  </r>
  <r>
    <s v="L.B."/>
    <d v="1991-12-21T00:00:00"/>
    <n v="33"/>
    <x v="3"/>
    <x v="0"/>
    <x v="0"/>
    <s v="Yes"/>
    <s v="No"/>
    <s v="Yes"/>
    <s v="No"/>
    <s v="No"/>
    <s v=""/>
    <s v="No"/>
    <s v="Yes"/>
    <s v="Yes"/>
    <s v="No"/>
    <s v="No"/>
    <x v="1"/>
    <x v="0"/>
  </r>
  <r>
    <s v="R.X."/>
    <d v="1959-09-10T00:00:00"/>
    <n v="65"/>
    <x v="0"/>
    <x v="0"/>
    <x v="1"/>
    <s v="No"/>
    <s v="Yes"/>
    <s v="Yes"/>
    <s v="Yes"/>
    <s v="No"/>
    <s v=""/>
    <s v="Yes"/>
    <s v="Yes"/>
    <s v="No"/>
    <s v="No"/>
    <s v="Yes"/>
    <x v="1"/>
    <x v="1"/>
  </r>
  <r>
    <s v="F.L."/>
    <d v="1942-12-05T00:00:00"/>
    <n v="82"/>
    <x v="0"/>
    <x v="1"/>
    <x v="0"/>
    <s v="No"/>
    <s v="Yes"/>
    <s v="Yes"/>
    <s v="Yes"/>
    <s v="No"/>
    <s v=""/>
    <s v="No"/>
    <s v="Yes"/>
    <s v="Yes"/>
    <s v="No"/>
    <s v="Yes"/>
    <x v="0"/>
    <x v="1"/>
  </r>
  <r>
    <s v="U.E."/>
    <d v="1940-08-18T00:00:00"/>
    <n v="84"/>
    <x v="0"/>
    <x v="1"/>
    <x v="0"/>
    <s v="No"/>
    <s v="No"/>
    <s v="Yes"/>
    <s v="No"/>
    <s v="No"/>
    <s v=""/>
    <s v="No"/>
    <s v="Yes"/>
    <s v="Yes"/>
    <s v="No"/>
    <s v="Yes"/>
    <x v="1"/>
    <x v="1"/>
  </r>
  <r>
    <s v="G.A."/>
    <d v="1941-10-08T00:00:00"/>
    <n v="83"/>
    <x v="0"/>
    <x v="1"/>
    <x v="1"/>
    <s v="Yes"/>
    <s v="Yes"/>
    <s v="No"/>
    <s v="No"/>
    <s v="Yes"/>
    <s v=""/>
    <s v="No"/>
    <s v="Yes"/>
    <s v="No"/>
    <s v="No"/>
    <s v="No"/>
    <x v="1"/>
    <x v="1"/>
  </r>
  <r>
    <s v="Z.L."/>
    <d v="1987-03-26T00:00:00"/>
    <n v="38"/>
    <x v="3"/>
    <x v="1"/>
    <x v="1"/>
    <s v="No"/>
    <s v="No"/>
    <s v="No"/>
    <s v="No"/>
    <s v="Yes"/>
    <s v=""/>
    <s v="No"/>
    <s v="No"/>
    <s v="No"/>
    <s v="No"/>
    <s v="No"/>
    <x v="0"/>
    <x v="1"/>
  </r>
  <r>
    <s v="P.Z."/>
    <d v="1973-09-19T00:00:00"/>
    <n v="51"/>
    <x v="4"/>
    <x v="0"/>
    <x v="1"/>
    <s v="No"/>
    <s v="No"/>
    <s v="No"/>
    <s v="Yes"/>
    <s v="Yes"/>
    <s v=""/>
    <s v="Yes"/>
    <s v="No"/>
    <s v="Yes"/>
    <s v="No"/>
    <s v="No"/>
    <x v="0"/>
    <x v="1"/>
  </r>
  <r>
    <s v="F.K."/>
    <d v="1940-03-31T00:00:00"/>
    <n v="85"/>
    <x v="0"/>
    <x v="1"/>
    <x v="1"/>
    <s v="No"/>
    <s v="No"/>
    <s v="No"/>
    <s v="No"/>
    <s v="Yes"/>
    <s v=""/>
    <s v="No"/>
    <s v="No"/>
    <s v="Yes"/>
    <s v="No"/>
    <s v="Yes"/>
    <x v="0"/>
    <x v="1"/>
  </r>
  <r>
    <s v="G.G."/>
    <d v="1955-09-13T00:00:00"/>
    <n v="69"/>
    <x v="0"/>
    <x v="1"/>
    <x v="0"/>
    <s v="No"/>
    <s v="No"/>
    <s v="No"/>
    <s v="Yes"/>
    <s v="No"/>
    <s v=""/>
    <s v="No"/>
    <s v="No"/>
    <s v="No"/>
    <s v="Yes"/>
    <s v="Yes"/>
    <x v="1"/>
    <x v="1"/>
  </r>
  <r>
    <s v="R.F."/>
    <d v="1969-05-10T00:00:00"/>
    <n v="56"/>
    <x v="4"/>
    <x v="0"/>
    <x v="0"/>
    <s v="Yes"/>
    <s v="Yes"/>
    <s v="No"/>
    <s v="Yes"/>
    <s v="Yes"/>
    <s v=""/>
    <s v="No"/>
    <s v="No"/>
    <s v="Yes"/>
    <s v="No"/>
    <s v="No"/>
    <x v="1"/>
    <x v="1"/>
  </r>
  <r>
    <s v="I.N."/>
    <d v="2005-11-23T00:00:00"/>
    <n v="19"/>
    <x v="1"/>
    <x v="1"/>
    <x v="1"/>
    <s v="No"/>
    <s v="No"/>
    <s v="No"/>
    <s v="No"/>
    <s v="Yes"/>
    <s v=""/>
    <s v="No"/>
    <s v="No"/>
    <s v="No"/>
    <s v="Yes"/>
    <s v="Yes"/>
    <x v="0"/>
    <x v="0"/>
  </r>
  <r>
    <s v="L.E."/>
    <d v="1986-10-13T00:00:00"/>
    <n v="38"/>
    <x v="3"/>
    <x v="0"/>
    <x v="0"/>
    <s v="Yes"/>
    <s v="Yes"/>
    <s v="Yes"/>
    <s v="Yes"/>
    <s v="No"/>
    <s v=""/>
    <s v="No"/>
    <s v="No"/>
    <s v="Yes"/>
    <s v="No"/>
    <s v="Yes"/>
    <x v="1"/>
    <x v="1"/>
  </r>
  <r>
    <s v="B.C."/>
    <d v="1941-12-02T00:00:00"/>
    <n v="83"/>
    <x v="0"/>
    <x v="0"/>
    <x v="0"/>
    <s v="No"/>
    <s v="No"/>
    <s v="Yes"/>
    <s v="No"/>
    <s v="No"/>
    <s v=""/>
    <s v="No"/>
    <s v="Yes"/>
    <s v="No"/>
    <s v="Yes"/>
    <s v="No"/>
    <x v="0"/>
    <x v="1"/>
  </r>
  <r>
    <s v="P.G."/>
    <d v="1976-03-14T00:00:00"/>
    <n v="49"/>
    <x v="2"/>
    <x v="1"/>
    <x v="0"/>
    <s v="Yes"/>
    <s v="No"/>
    <s v="No"/>
    <s v="Yes"/>
    <s v="Yes"/>
    <s v=""/>
    <s v="Yes"/>
    <s v="Yes"/>
    <s v="Yes"/>
    <s v="No"/>
    <s v="No"/>
    <x v="0"/>
    <x v="1"/>
  </r>
  <r>
    <s v="U.E."/>
    <d v="1967-03-27T00:00:00"/>
    <n v="58"/>
    <x v="4"/>
    <x v="0"/>
    <x v="1"/>
    <s v="Yes"/>
    <s v="No"/>
    <s v="Yes"/>
    <s v="No"/>
    <s v="Yes"/>
    <s v=""/>
    <s v="No"/>
    <s v="No"/>
    <s v="No"/>
    <s v="No"/>
    <s v="Yes"/>
    <x v="1"/>
    <x v="1"/>
  </r>
  <r>
    <s v="D.T."/>
    <d v="1990-01-09T00:00:00"/>
    <n v="35"/>
    <x v="3"/>
    <x v="1"/>
    <x v="1"/>
    <s v="No"/>
    <s v="No"/>
    <s v="Yes"/>
    <s v="Yes"/>
    <s v="No"/>
    <s v=""/>
    <s v="Yes"/>
    <s v="No"/>
    <s v="No"/>
    <s v="Yes"/>
    <s v="No"/>
    <x v="0"/>
    <x v="0"/>
  </r>
  <r>
    <s v="F.I."/>
    <d v="1994-03-02T00:00:00"/>
    <n v="31"/>
    <x v="3"/>
    <x v="1"/>
    <x v="1"/>
    <s v="No"/>
    <s v="No"/>
    <s v="No"/>
    <s v="No"/>
    <s v="Yes"/>
    <s v=""/>
    <s v="No"/>
    <s v="Yes"/>
    <s v="No"/>
    <s v="No"/>
    <s v="No"/>
    <x v="0"/>
    <x v="0"/>
  </r>
  <r>
    <s v="B.E."/>
    <d v="1980-04-28T00:00:00"/>
    <n v="45"/>
    <x v="2"/>
    <x v="0"/>
    <x v="0"/>
    <s v="No"/>
    <s v="Yes"/>
    <s v="Yes"/>
    <s v="No"/>
    <s v="Yes"/>
    <s v=""/>
    <s v="Yes"/>
    <s v="No"/>
    <s v="Yes"/>
    <s v="No"/>
    <s v="Yes"/>
    <x v="0"/>
    <x v="0"/>
  </r>
  <r>
    <s v="X.V."/>
    <d v="2000-10-24T00:00:00"/>
    <n v="24"/>
    <x v="1"/>
    <x v="0"/>
    <x v="1"/>
    <s v="Yes"/>
    <s v="Yes"/>
    <s v="No"/>
    <s v="No"/>
    <s v="Yes"/>
    <s v=""/>
    <s v="No"/>
    <s v="No"/>
    <s v="No"/>
    <s v="Yes"/>
    <s v="Yes"/>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09347B-1A78-4EAF-906B-4737DD9415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9" firstHeaderRow="1" firstDataRow="2" firstDataCol="1" rowPageCount="1" colPageCount="1"/>
  <pivotFields count="19">
    <pivotField showAll="0"/>
    <pivotField numFmtId="14" showAll="0"/>
    <pivotField showAll="0"/>
    <pivotField axis="axisRow" showAll="0">
      <items count="6">
        <item x="1"/>
        <item x="3"/>
        <item x="2"/>
        <item x="4"/>
        <item x="0"/>
        <item t="default"/>
      </items>
    </pivotField>
    <pivotField axis="axisCol" showAll="0">
      <items count="3">
        <item x="0"/>
        <item x="1"/>
        <item t="default"/>
      </items>
    </pivotField>
    <pivotField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3">
        <item h="1" x="1"/>
        <item x="0"/>
        <item t="default"/>
      </items>
    </pivotField>
  </pivotFields>
  <rowFields count="1">
    <field x="3"/>
  </rowFields>
  <rowItems count="5">
    <i>
      <x/>
    </i>
    <i>
      <x v="1"/>
    </i>
    <i>
      <x v="2"/>
    </i>
    <i>
      <x v="4"/>
    </i>
    <i t="grand">
      <x/>
    </i>
  </rowItems>
  <colFields count="1">
    <field x="4"/>
  </colFields>
  <colItems count="3">
    <i>
      <x/>
    </i>
    <i>
      <x v="1"/>
    </i>
    <i t="grand">
      <x/>
    </i>
  </colItems>
  <pageFields count="1">
    <pageField fld="18" hier="-1"/>
  </pageFields>
  <dataFields count="1">
    <dataField name="Count of Follow Up Appointments" fld="18" subtotal="count"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5" format="4" series="1">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FA60F7-78E3-44CC-B877-B6BB9E22F8B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0" firstHeaderRow="1" firstDataRow="2" firstDataCol="1"/>
  <pivotFields count="19">
    <pivotField dataField="1" showAll="0"/>
    <pivotField numFmtId="14" showAll="0"/>
    <pivotField showAll="0"/>
    <pivotField axis="axisRow" showAll="0">
      <items count="6">
        <item x="1"/>
        <item x="3"/>
        <item x="2"/>
        <item x="4"/>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3"/>
  </rowFields>
  <rowItems count="6">
    <i>
      <x/>
    </i>
    <i>
      <x v="1"/>
    </i>
    <i>
      <x v="2"/>
    </i>
    <i>
      <x v="3"/>
    </i>
    <i>
      <x v="4"/>
    </i>
    <i t="grand">
      <x/>
    </i>
  </rowItems>
  <colFields count="1">
    <field x="18"/>
  </colFields>
  <colItems count="3">
    <i>
      <x/>
    </i>
    <i>
      <x v="1"/>
    </i>
    <i t="grand">
      <x/>
    </i>
  </colItems>
  <dataFields count="1">
    <dataField name="Count of Patient Initials" fld="0" subtotal="count" baseField="0" baseItem="0"/>
  </dataFields>
  <chartFormats count="6">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1" format="0" series="1">
      <pivotArea type="data" outline="0" fieldPosition="0">
        <references count="2">
          <reference field="4294967294" count="1" selected="0">
            <x v="0"/>
          </reference>
          <reference field="18" count="1" selected="0">
            <x v="0"/>
          </reference>
        </references>
      </pivotArea>
    </chartFormat>
    <chartFormat chart="1" format="1" series="1">
      <pivotArea type="data" outline="0" fieldPosition="0">
        <references count="2">
          <reference field="4294967294" count="1" selected="0">
            <x v="0"/>
          </reference>
          <reference field="18" count="1" selected="0">
            <x v="1"/>
          </reference>
        </references>
      </pivotArea>
    </chartFormat>
    <chartFormat chart="8" format="6" series="1">
      <pivotArea type="data" outline="0" fieldPosition="0">
        <references count="2">
          <reference field="4294967294" count="1" selected="0">
            <x v="0"/>
          </reference>
          <reference field="18" count="1" selected="0">
            <x v="0"/>
          </reference>
        </references>
      </pivotArea>
    </chartFormat>
    <chartFormat chart="8" format="7"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F992F7-04CF-4247-A83F-F6293E94DE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9">
    <pivotField dataField="1" showAll="0"/>
    <pivotField numFmtId="14" showAll="0"/>
    <pivotField showAll="0"/>
    <pivotField showAll="0">
      <items count="6">
        <item x="1"/>
        <item x="3"/>
        <item x="2"/>
        <item x="4"/>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Patient Initials"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B96705-5C49-4C59-A6BD-F98623C5871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9">
    <pivotField dataField="1" showAll="0"/>
    <pivotField numFmtId="14" showAll="0"/>
    <pivotField showAll="0"/>
    <pivotField axis="axisRow" showAll="0">
      <items count="6">
        <item x="1"/>
        <item x="3"/>
        <item x="2"/>
        <item x="4"/>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Patient Initials" fld="0" subtotal="count" baseField="0" baseItem="0"/>
  </dataFields>
  <chartFormats count="1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1"/>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4"/>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3"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 chart="7" format="15">
      <pivotArea type="data" outline="0" fieldPosition="0">
        <references count="2">
          <reference field="4294967294" count="1" selected="0">
            <x v="0"/>
          </reference>
          <reference field="3" count="1" selected="0">
            <x v="2"/>
          </reference>
        </references>
      </pivotArea>
    </chartFormat>
    <chartFormat chart="7" format="16">
      <pivotArea type="data" outline="0" fieldPosition="0">
        <references count="2">
          <reference field="4294967294" count="1" selected="0">
            <x v="0"/>
          </reference>
          <reference field="3" count="1" selected="0">
            <x v="3"/>
          </reference>
        </references>
      </pivotArea>
    </chartFormat>
    <chartFormat chart="7"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E5FD58-02A1-401D-897F-5692C3B64B4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1" firstDataRow="2" firstDataCol="1"/>
  <pivotFields count="19">
    <pivotField dataField="1" showAll="0"/>
    <pivotField numFmtId="14" showAll="0"/>
    <pivotField showAll="0"/>
    <pivotField showAll="0">
      <items count="6">
        <item x="1"/>
        <item x="3"/>
        <item x="2"/>
        <item x="4"/>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axis="axisCol" showAll="0">
      <items count="3">
        <item x="1"/>
        <item x="0"/>
        <item t="default"/>
      </items>
    </pivotField>
  </pivotFields>
  <rowFields count="1">
    <field x="17"/>
  </rowFields>
  <rowItems count="3">
    <i>
      <x/>
    </i>
    <i>
      <x v="1"/>
    </i>
    <i t="grand">
      <x/>
    </i>
  </rowItems>
  <colFields count="1">
    <field x="18"/>
  </colFields>
  <colItems count="3">
    <i>
      <x/>
    </i>
    <i>
      <x v="1"/>
    </i>
    <i t="grand">
      <x/>
    </i>
  </colItems>
  <dataFields count="1">
    <dataField name="Count of Patient Initials" fld="0" subtotal="count" baseField="0" baseItem="0"/>
  </dataFields>
  <chartFormats count="10">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3" format="0" series="1">
      <pivotArea type="data" outline="0" fieldPosition="0">
        <references count="2">
          <reference field="4294967294" count="1" selected="0">
            <x v="0"/>
          </reference>
          <reference field="18" count="1" selected="0">
            <x v="0"/>
          </reference>
        </references>
      </pivotArea>
    </chartFormat>
    <chartFormat chart="3" format="1" series="1">
      <pivotArea type="data" outline="0" fieldPosition="0">
        <references count="2">
          <reference field="4294967294" count="1" selected="0">
            <x v="0"/>
          </reference>
          <reference field="18" count="1" selected="0">
            <x v="1"/>
          </reference>
        </references>
      </pivotArea>
    </chartFormat>
    <chartFormat chart="13" format="2" series="1">
      <pivotArea type="data" outline="0" fieldPosition="0">
        <references count="2">
          <reference field="4294967294" count="1" selected="0">
            <x v="0"/>
          </reference>
          <reference field="18" count="1" selected="0">
            <x v="0"/>
          </reference>
        </references>
      </pivotArea>
    </chartFormat>
    <chartFormat chart="13" format="3" series="1">
      <pivotArea type="data" outline="0" fieldPosition="0">
        <references count="2">
          <reference field="4294967294" count="1" selected="0">
            <x v="0"/>
          </reference>
          <reference field="18" count="1" selected="0">
            <x v="1"/>
          </reference>
        </references>
      </pivotArea>
    </chartFormat>
    <chartFormat chart="14" format="4" series="1">
      <pivotArea type="data" outline="0" fieldPosition="0">
        <references count="2">
          <reference field="4294967294" count="1" selected="0">
            <x v="0"/>
          </reference>
          <reference field="18" count="1" selected="0">
            <x v="0"/>
          </reference>
        </references>
      </pivotArea>
    </chartFormat>
    <chartFormat chart="14" format="5" series="1">
      <pivotArea type="data" outline="0" fieldPosition="0">
        <references count="2">
          <reference field="4294967294" count="1" selected="0">
            <x v="0"/>
          </reference>
          <reference field="18" count="1" selected="0">
            <x v="1"/>
          </reference>
        </references>
      </pivotArea>
    </chartFormat>
    <chartFormat chart="15" format="4" series="1">
      <pivotArea type="data" outline="0" fieldPosition="0">
        <references count="2">
          <reference field="4294967294" count="1" selected="0">
            <x v="0"/>
          </reference>
          <reference field="18" count="1" selected="0">
            <x v="0"/>
          </reference>
        </references>
      </pivotArea>
    </chartFormat>
    <chartFormat chart="15"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4D48CC4-C917-4E62-AA11-787592F43D61}" sourceName="Age Group">
  <pivotTables>
    <pivotTable tabId="20" name="PivotTable1"/>
    <pivotTable tabId="15" name="PivotTable8"/>
    <pivotTable tabId="18" name="PivotTable10"/>
    <pivotTable tabId="19" name="PivotTable11"/>
    <pivotTable tabId="13" name="PivotTable7"/>
  </pivotTables>
  <data>
    <tabular pivotCacheId="2022870023">
      <items count="5">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349901D-D5C7-4BF6-A475-B9D673DBAA24}" sourceName="Gender">
  <pivotTables>
    <pivotTable tabId="20" name="PivotTable1"/>
    <pivotTable tabId="15" name="PivotTable8"/>
    <pivotTable tabId="18" name="PivotTable10"/>
    <pivotTable tabId="19" name="PivotTable11"/>
    <pivotTable tabId="13" name="PivotTable7"/>
  </pivotTables>
  <data>
    <tabular pivotCacheId="202287002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CB360B23-88D9-45F7-B616-8FF544404219}" cache="Slicer_Age_Group" caption="Age Group" rowHeight="251883"/>
  <slicer name="Gender" xr10:uid="{1AF045A8-715D-4761-B722-43CA513AAA50}" cache="Slicer_Gender" caption="Gend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43C433-8DC0-45F2-975E-3A640316AE55}" name="PatientData" displayName="PatientData" ref="A1:S51" totalsRowShown="0" headerRowDxfId="20" dataDxfId="19">
  <autoFilter ref="A1:S51" xr:uid="{6143C433-8DC0-45F2-975E-3A640316AE55}"/>
  <tableColumns count="19">
    <tableColumn id="1" xr3:uid="{C2FD7D45-2C86-4C2B-86AF-CE6AFDCD8113}" name="Patient Initials" dataDxfId="18"/>
    <tableColumn id="2" xr3:uid="{3EADFEBC-46AF-492A-A97A-D85A494FBC66}" name="Date of Birth" dataDxfId="17"/>
    <tableColumn id="3" xr3:uid="{F3F8268B-C117-4A39-B198-AB80742511CC}" name="Age" dataDxfId="16">
      <calculatedColumnFormula>DATEDIF(B2, TODAY(), "Y")</calculatedColumnFormula>
    </tableColumn>
    <tableColumn id="4" xr3:uid="{03F37A91-9E69-454B-9474-EA551E7339AF}" name="Age Group" dataDxfId="15">
      <calculatedColumnFormula array="1">_xlfn.IFS(C2&lt;30, "18–29", C2&lt;40, "30–39", C2&lt;50, "40–49", C2&lt;60, "50–59", TRUE, "60+")</calculatedColumnFormula>
    </tableColumn>
    <tableColumn id="5" xr3:uid="{26E890DF-17C7-4FB2-9BB4-88BA1471BB79}" name="Gender" dataDxfId="14"/>
    <tableColumn id="6" xr3:uid="{7EEFC325-8391-4D19-A6E9-9FF9884525B4}" name="Diabetes" dataDxfId="13"/>
    <tableColumn id="7" xr3:uid="{359EEE55-66F5-463F-95EC-5C527BC0F6F8}" name="Heart Disease" dataDxfId="12"/>
    <tableColumn id="8" xr3:uid="{F334ABA6-3719-4D8B-80E2-282EA5DDCCAB}" name="High Risk Sexual Behavior" dataDxfId="11"/>
    <tableColumn id="9" xr3:uid="{69DD7ACC-5E49-4037-80A6-12C3A2F9910B}" name="Hx Violence" dataDxfId="10"/>
    <tableColumn id="10" xr3:uid="{BEDF7317-19BF-48D7-9454-2C44438B7E50}" name="History of Injury" dataDxfId="9"/>
    <tableColumn id="11" xr3:uid="{91B01433-0039-423C-BCD3-B2550D0054CD}" name="History of Malignancy" dataDxfId="8"/>
    <tableColumn id="12" xr3:uid="{00994852-A3BD-4A75-B3A2-D15725AFE187}" name="Other" dataDxfId="7"/>
    <tableColumn id="13" xr3:uid="{A5D01A9A-AF12-4A1D-8C15-72961ACD623C}" name="Consents Up to Date" dataDxfId="6"/>
    <tableColumn id="14" xr3:uid="{1211DC99-FE87-47CC-8EB1-0A13F764A1A5}" name="Completed History" dataDxfId="5"/>
    <tableColumn id="15" xr3:uid="{7F8FA404-6DF4-4040-A88B-B4ADAA5795CB}" name="Labc Completed" dataDxfId="4"/>
    <tableColumn id="16" xr3:uid="{043EC36A-46B5-4842-A32F-5268CF2DC960}" name="Dx Test Ordered" dataDxfId="3"/>
    <tableColumn id="17" xr3:uid="{20A529B4-743F-4CC3-B2A5-6D642F066F49}" name="Education Provided" dataDxfId="2"/>
    <tableColumn id="18" xr3:uid="{851B5CFD-B75C-45AA-9A27-753AE0443A63}" name="Treatment Plan Document" dataDxfId="1"/>
    <tableColumn id="19" xr3:uid="{FE4AFC76-0CB9-4B43-BE83-92562E4D8CE9}" name="Follow Up Appoint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8BD6-EE9D-4A42-9B7F-85F0A3F95679}">
  <dimension ref="A1"/>
  <sheetViews>
    <sheetView showGridLines="0" tabSelected="1" zoomScale="78" zoomScaleNormal="84" workbookViewId="0">
      <selection activeCell="B29" sqref="B2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1C5E-7ED4-40D9-A8EE-D7FEA45318A1}">
  <dimension ref="A1:S51"/>
  <sheetViews>
    <sheetView zoomScale="103" workbookViewId="0">
      <selection activeCell="H11" sqref="H11"/>
    </sheetView>
  </sheetViews>
  <sheetFormatPr defaultRowHeight="14.5" x14ac:dyDescent="0.35"/>
  <cols>
    <col min="1" max="1" width="15" style="4" customWidth="1"/>
    <col min="2" max="2" width="13.08984375" style="4" customWidth="1"/>
    <col min="3" max="3" width="5.81640625" style="4" customWidth="1"/>
    <col min="4" max="4" width="11.26953125" style="4" customWidth="1"/>
    <col min="5" max="5" width="8.90625" style="4" customWidth="1"/>
    <col min="6" max="6" width="10.26953125" style="4" customWidth="1"/>
    <col min="7" max="7" width="14.36328125" style="4" customWidth="1"/>
    <col min="8" max="8" width="24.26953125" style="4" customWidth="1"/>
    <col min="9" max="9" width="12.6328125" style="4" customWidth="1"/>
    <col min="10" max="10" width="15.90625" style="4" customWidth="1"/>
    <col min="11" max="11" width="20.6328125" style="4" customWidth="1"/>
    <col min="12" max="12" width="8.7265625" style="4"/>
    <col min="13" max="13" width="19.7265625" style="4" customWidth="1"/>
    <col min="14" max="14" width="18.36328125" style="4" customWidth="1"/>
    <col min="15" max="15" width="16.453125" style="4" customWidth="1"/>
    <col min="16" max="16" width="15.90625" style="4" customWidth="1"/>
    <col min="17" max="17" width="19" style="4" customWidth="1"/>
    <col min="18" max="18" width="24.54296875" style="4" customWidth="1"/>
    <col min="19" max="19" width="23.1796875" style="4" customWidth="1"/>
    <col min="20" max="16384" width="8.7265625" style="4"/>
  </cols>
  <sheetData>
    <row r="1" spans="1:19" s="3" customFormat="1" x14ac:dyDescent="0.35">
      <c r="A1" s="3" t="s">
        <v>0</v>
      </c>
      <c r="B1" s="3" t="s">
        <v>1</v>
      </c>
      <c r="C1" s="3" t="s">
        <v>2</v>
      </c>
      <c r="D1" s="3" t="s">
        <v>73</v>
      </c>
      <c r="E1" s="3" t="s">
        <v>3</v>
      </c>
      <c r="F1" s="3" t="s">
        <v>4</v>
      </c>
      <c r="G1" s="3" t="s">
        <v>5</v>
      </c>
      <c r="H1" s="3" t="s">
        <v>6</v>
      </c>
      <c r="I1" s="3" t="s">
        <v>7</v>
      </c>
      <c r="J1" s="3" t="s">
        <v>8</v>
      </c>
      <c r="K1" s="3" t="s">
        <v>16</v>
      </c>
      <c r="L1" s="3" t="s">
        <v>9</v>
      </c>
      <c r="M1" s="3" t="s">
        <v>10</v>
      </c>
      <c r="N1" s="3" t="s">
        <v>11</v>
      </c>
      <c r="O1" s="3" t="s">
        <v>12</v>
      </c>
      <c r="P1" s="3" t="s">
        <v>13</v>
      </c>
      <c r="Q1" s="3" t="s">
        <v>14</v>
      </c>
      <c r="R1" s="3" t="s">
        <v>17</v>
      </c>
      <c r="S1" s="3" t="s">
        <v>15</v>
      </c>
    </row>
    <row r="2" spans="1:19" x14ac:dyDescent="0.35">
      <c r="A2" s="4" t="s">
        <v>18</v>
      </c>
      <c r="B2" s="7">
        <v>21422</v>
      </c>
      <c r="C2" s="4">
        <f ca="1">DATEDIF(B2, TODAY(), "Y")</f>
        <v>66</v>
      </c>
      <c r="D2" s="4" t="str" cm="1">
        <f t="array" aca="1" ref="D2" ca="1">_xlfn.IFS(C2&lt;30, "18–29", C2&lt;40, "30–39", C2&lt;50, "40–49", C2&lt;60, "50–59", TRUE, "60+")</f>
        <v>60+</v>
      </c>
      <c r="E2" s="4" t="s">
        <v>19</v>
      </c>
      <c r="F2" s="4" t="s">
        <v>20</v>
      </c>
      <c r="G2" s="4" t="s">
        <v>20</v>
      </c>
      <c r="H2" s="4" t="s">
        <v>21</v>
      </c>
      <c r="I2" s="4" t="s">
        <v>21</v>
      </c>
      <c r="J2" s="4" t="s">
        <v>21</v>
      </c>
      <c r="K2" s="4" t="s">
        <v>20</v>
      </c>
      <c r="L2" s="4" t="s">
        <v>22</v>
      </c>
      <c r="M2" s="4" t="s">
        <v>21</v>
      </c>
      <c r="N2" s="4" t="s">
        <v>20</v>
      </c>
      <c r="O2" s="4" t="s">
        <v>20</v>
      </c>
      <c r="P2" s="4" t="s">
        <v>21</v>
      </c>
      <c r="Q2" s="4" t="s">
        <v>21</v>
      </c>
      <c r="R2" s="4" t="s">
        <v>20</v>
      </c>
      <c r="S2" s="4" t="s">
        <v>20</v>
      </c>
    </row>
    <row r="3" spans="1:19" x14ac:dyDescent="0.35">
      <c r="A3" s="4" t="s">
        <v>23</v>
      </c>
      <c r="B3" s="7">
        <v>35861</v>
      </c>
      <c r="C3" s="4">
        <f t="shared" ref="C3:C51" ca="1" si="0">DATEDIF(B3, TODAY(), "Y")</f>
        <v>27</v>
      </c>
      <c r="D3" s="4" t="str" cm="1">
        <f t="array" aca="1" ref="D3" ca="1">_xlfn.IFS(C3&lt;30, "18–29", C3&lt;40, "30–39", C3&lt;50, "40–49", C3&lt;60, "50–59", TRUE, "60+")</f>
        <v>18–29</v>
      </c>
      <c r="E3" s="4" t="s">
        <v>19</v>
      </c>
      <c r="F3" s="4" t="s">
        <v>21</v>
      </c>
      <c r="G3" s="4" t="s">
        <v>21</v>
      </c>
      <c r="H3" s="4" t="s">
        <v>20</v>
      </c>
      <c r="I3" s="4" t="s">
        <v>20</v>
      </c>
      <c r="J3" s="4" t="s">
        <v>20</v>
      </c>
      <c r="K3" s="4" t="s">
        <v>20</v>
      </c>
      <c r="L3" s="4" t="s">
        <v>22</v>
      </c>
      <c r="M3" s="4" t="s">
        <v>21</v>
      </c>
      <c r="N3" s="4" t="s">
        <v>21</v>
      </c>
      <c r="O3" s="4" t="s">
        <v>20</v>
      </c>
      <c r="P3" s="4" t="s">
        <v>20</v>
      </c>
      <c r="Q3" s="4" t="s">
        <v>21</v>
      </c>
      <c r="R3" s="4" t="s">
        <v>20</v>
      </c>
      <c r="S3" s="4" t="s">
        <v>20</v>
      </c>
    </row>
    <row r="4" spans="1:19" x14ac:dyDescent="0.35">
      <c r="A4" s="4" t="s">
        <v>24</v>
      </c>
      <c r="B4" s="7">
        <v>20575</v>
      </c>
      <c r="C4" s="4">
        <f t="shared" ca="1" si="0"/>
        <v>69</v>
      </c>
      <c r="D4" s="4" t="str" cm="1">
        <f t="array" aca="1" ref="D4" ca="1">_xlfn.IFS(C4&lt;30, "18–29", C4&lt;40, "30–39", C4&lt;50, "40–49", C4&lt;60, "50–59", TRUE, "60+")</f>
        <v>60+</v>
      </c>
      <c r="E4" s="4" t="s">
        <v>19</v>
      </c>
      <c r="F4" s="4" t="s">
        <v>20</v>
      </c>
      <c r="G4" s="4" t="s">
        <v>21</v>
      </c>
      <c r="H4" s="4" t="s">
        <v>21</v>
      </c>
      <c r="I4" s="4" t="s">
        <v>21</v>
      </c>
      <c r="J4" s="4" t="s">
        <v>20</v>
      </c>
      <c r="K4" s="4" t="s">
        <v>21</v>
      </c>
      <c r="L4" s="4" t="s">
        <v>22</v>
      </c>
      <c r="M4" s="4" t="s">
        <v>20</v>
      </c>
      <c r="N4" s="4" t="s">
        <v>20</v>
      </c>
      <c r="O4" s="4" t="s">
        <v>21</v>
      </c>
      <c r="P4" s="4" t="s">
        <v>21</v>
      </c>
      <c r="Q4" s="4" t="s">
        <v>21</v>
      </c>
      <c r="R4" s="4" t="s">
        <v>20</v>
      </c>
      <c r="S4" s="4" t="s">
        <v>21</v>
      </c>
    </row>
    <row r="5" spans="1:19" x14ac:dyDescent="0.35">
      <c r="A5" s="4" t="s">
        <v>25</v>
      </c>
      <c r="B5" s="7">
        <v>17334</v>
      </c>
      <c r="C5" s="4">
        <f t="shared" ca="1" si="0"/>
        <v>78</v>
      </c>
      <c r="D5" s="4" t="str" cm="1">
        <f t="array" aca="1" ref="D5" ca="1">_xlfn.IFS(C5&lt;30, "18–29", C5&lt;40, "30–39", C5&lt;50, "40–49", C5&lt;60, "50–59", TRUE, "60+")</f>
        <v>60+</v>
      </c>
      <c r="E5" s="4" t="s">
        <v>26</v>
      </c>
      <c r="F5" s="4" t="s">
        <v>21</v>
      </c>
      <c r="G5" s="4" t="s">
        <v>20</v>
      </c>
      <c r="H5" s="4" t="s">
        <v>20</v>
      </c>
      <c r="I5" s="4" t="s">
        <v>20</v>
      </c>
      <c r="J5" s="4" t="s">
        <v>21</v>
      </c>
      <c r="K5" s="4" t="s">
        <v>20</v>
      </c>
      <c r="L5" s="4" t="s">
        <v>22</v>
      </c>
      <c r="M5" s="4" t="s">
        <v>20</v>
      </c>
      <c r="N5" s="4" t="s">
        <v>20</v>
      </c>
      <c r="O5" s="4" t="s">
        <v>20</v>
      </c>
      <c r="P5" s="4" t="s">
        <v>20</v>
      </c>
      <c r="Q5" s="4" t="s">
        <v>20</v>
      </c>
      <c r="R5" s="4" t="s">
        <v>21</v>
      </c>
      <c r="S5" s="4" t="s">
        <v>20</v>
      </c>
    </row>
    <row r="6" spans="1:19" x14ac:dyDescent="0.35">
      <c r="A6" s="4" t="s">
        <v>27</v>
      </c>
      <c r="B6" s="7">
        <v>38545</v>
      </c>
      <c r="C6" s="4">
        <f t="shared" ca="1" si="0"/>
        <v>20</v>
      </c>
      <c r="D6" s="4" t="str" cm="1">
        <f t="array" aca="1" ref="D6" ca="1">_xlfn.IFS(C6&lt;30, "18–29", C6&lt;40, "30–39", C6&lt;50, "40–49", C6&lt;60, "50–59", TRUE, "60+")</f>
        <v>18–29</v>
      </c>
      <c r="E6" s="4" t="s">
        <v>19</v>
      </c>
      <c r="F6" s="4" t="s">
        <v>20</v>
      </c>
      <c r="G6" s="4" t="s">
        <v>21</v>
      </c>
      <c r="H6" s="4" t="s">
        <v>20</v>
      </c>
      <c r="I6" s="4" t="s">
        <v>20</v>
      </c>
      <c r="J6" s="4" t="s">
        <v>21</v>
      </c>
      <c r="K6" s="4" t="s">
        <v>20</v>
      </c>
      <c r="L6" s="4" t="s">
        <v>22</v>
      </c>
      <c r="M6" s="4" t="s">
        <v>21</v>
      </c>
      <c r="N6" s="4" t="s">
        <v>20</v>
      </c>
      <c r="O6" s="4" t="s">
        <v>20</v>
      </c>
      <c r="P6" s="4" t="s">
        <v>20</v>
      </c>
      <c r="Q6" s="4" t="s">
        <v>21</v>
      </c>
      <c r="R6" s="4" t="s">
        <v>20</v>
      </c>
      <c r="S6" s="4" t="s">
        <v>21</v>
      </c>
    </row>
    <row r="7" spans="1:19" x14ac:dyDescent="0.35">
      <c r="A7" s="4" t="s">
        <v>28</v>
      </c>
      <c r="B7" s="7">
        <v>29033</v>
      </c>
      <c r="C7" s="4">
        <f t="shared" ca="1" si="0"/>
        <v>46</v>
      </c>
      <c r="D7" s="4" t="str" cm="1">
        <f t="array" aca="1" ref="D7" ca="1">_xlfn.IFS(C7&lt;30, "18–29", C7&lt;40, "30–39", C7&lt;50, "40–49", C7&lt;60, "50–59", TRUE, "60+")</f>
        <v>40–49</v>
      </c>
      <c r="E7" s="4" t="s">
        <v>26</v>
      </c>
      <c r="F7" s="4" t="s">
        <v>20</v>
      </c>
      <c r="G7" s="4" t="s">
        <v>21</v>
      </c>
      <c r="H7" s="4" t="s">
        <v>20</v>
      </c>
      <c r="I7" s="4" t="s">
        <v>20</v>
      </c>
      <c r="J7" s="4" t="s">
        <v>20</v>
      </c>
      <c r="K7" s="4" t="s">
        <v>21</v>
      </c>
      <c r="L7" s="4" t="s">
        <v>22</v>
      </c>
      <c r="M7" s="4" t="s">
        <v>21</v>
      </c>
      <c r="N7" s="4" t="s">
        <v>21</v>
      </c>
      <c r="O7" s="4" t="s">
        <v>21</v>
      </c>
      <c r="P7" s="4" t="s">
        <v>21</v>
      </c>
      <c r="Q7" s="4" t="s">
        <v>21</v>
      </c>
      <c r="R7" s="4" t="s">
        <v>20</v>
      </c>
      <c r="S7" s="4" t="s">
        <v>21</v>
      </c>
    </row>
    <row r="8" spans="1:19" x14ac:dyDescent="0.35">
      <c r="A8" s="4" t="s">
        <v>29</v>
      </c>
      <c r="B8" s="7">
        <v>35720</v>
      </c>
      <c r="C8" s="4">
        <f t="shared" ca="1" si="0"/>
        <v>27</v>
      </c>
      <c r="D8" s="4" t="str" cm="1">
        <f t="array" aca="1" ref="D8" ca="1">_xlfn.IFS(C8&lt;30, "18–29", C8&lt;40, "30–39", C8&lt;50, "40–49", C8&lt;60, "50–59", TRUE, "60+")</f>
        <v>18–29</v>
      </c>
      <c r="E8" s="4" t="s">
        <v>19</v>
      </c>
      <c r="F8" s="4" t="s">
        <v>20</v>
      </c>
      <c r="G8" s="4" t="s">
        <v>20</v>
      </c>
      <c r="H8" s="4" t="s">
        <v>21</v>
      </c>
      <c r="I8" s="4" t="s">
        <v>21</v>
      </c>
      <c r="J8" s="4" t="s">
        <v>20</v>
      </c>
      <c r="K8" s="4" t="s">
        <v>21</v>
      </c>
      <c r="L8" s="4" t="s">
        <v>22</v>
      </c>
      <c r="M8" s="4" t="s">
        <v>21</v>
      </c>
      <c r="N8" s="4" t="s">
        <v>21</v>
      </c>
      <c r="O8" s="4" t="s">
        <v>21</v>
      </c>
      <c r="P8" s="4" t="s">
        <v>20</v>
      </c>
      <c r="Q8" s="4" t="s">
        <v>20</v>
      </c>
      <c r="R8" s="4" t="s">
        <v>20</v>
      </c>
      <c r="S8" s="4" t="s">
        <v>20</v>
      </c>
    </row>
    <row r="9" spans="1:19" x14ac:dyDescent="0.35">
      <c r="A9" s="4" t="s">
        <v>30</v>
      </c>
      <c r="B9" s="7">
        <v>33037</v>
      </c>
      <c r="C9" s="4">
        <f t="shared" ca="1" si="0"/>
        <v>35</v>
      </c>
      <c r="D9" s="4" t="str" cm="1">
        <f t="array" aca="1" ref="D9" ca="1">_xlfn.IFS(C9&lt;30, "18–29", C9&lt;40, "30–39", C9&lt;50, "40–49", C9&lt;60, "50–59", TRUE, "60+")</f>
        <v>30–39</v>
      </c>
      <c r="E9" s="4" t="s">
        <v>19</v>
      </c>
      <c r="F9" s="4" t="s">
        <v>21</v>
      </c>
      <c r="G9" s="4" t="s">
        <v>21</v>
      </c>
      <c r="H9" s="4" t="s">
        <v>20</v>
      </c>
      <c r="I9" s="4" t="s">
        <v>20</v>
      </c>
      <c r="J9" s="4" t="s">
        <v>20</v>
      </c>
      <c r="K9" s="4" t="s">
        <v>20</v>
      </c>
      <c r="L9" s="4" t="s">
        <v>22</v>
      </c>
      <c r="M9" s="4" t="s">
        <v>20</v>
      </c>
      <c r="N9" s="4" t="s">
        <v>20</v>
      </c>
      <c r="O9" s="4" t="s">
        <v>20</v>
      </c>
      <c r="P9" s="4" t="s">
        <v>20</v>
      </c>
      <c r="Q9" s="4" t="s">
        <v>21</v>
      </c>
      <c r="R9" s="4" t="s">
        <v>20</v>
      </c>
      <c r="S9" s="4" t="s">
        <v>20</v>
      </c>
    </row>
    <row r="10" spans="1:19" x14ac:dyDescent="0.35">
      <c r="A10" s="4" t="s">
        <v>31</v>
      </c>
      <c r="B10" s="7">
        <v>36719</v>
      </c>
      <c r="C10" s="4">
        <f t="shared" ca="1" si="0"/>
        <v>25</v>
      </c>
      <c r="D10" s="4" t="str" cm="1">
        <f t="array" aca="1" ref="D10" ca="1">_xlfn.IFS(C10&lt;30, "18–29", C10&lt;40, "30–39", C10&lt;50, "40–49", C10&lt;60, "50–59", TRUE, "60+")</f>
        <v>18–29</v>
      </c>
      <c r="E10" s="4" t="s">
        <v>19</v>
      </c>
      <c r="F10" s="4" t="s">
        <v>20</v>
      </c>
      <c r="G10" s="4" t="s">
        <v>21</v>
      </c>
      <c r="H10" s="4" t="s">
        <v>20</v>
      </c>
      <c r="I10" s="4" t="s">
        <v>21</v>
      </c>
      <c r="J10" s="4" t="s">
        <v>21</v>
      </c>
      <c r="K10" s="4" t="s">
        <v>21</v>
      </c>
      <c r="L10" s="4" t="s">
        <v>22</v>
      </c>
      <c r="M10" s="4" t="s">
        <v>21</v>
      </c>
      <c r="N10" s="4" t="s">
        <v>20</v>
      </c>
      <c r="O10" s="4" t="s">
        <v>20</v>
      </c>
      <c r="P10" s="4" t="s">
        <v>21</v>
      </c>
      <c r="Q10" s="4" t="s">
        <v>21</v>
      </c>
      <c r="R10" s="4" t="s">
        <v>20</v>
      </c>
      <c r="S10" s="4" t="s">
        <v>21</v>
      </c>
    </row>
    <row r="11" spans="1:19" x14ac:dyDescent="0.35">
      <c r="A11" s="4" t="s">
        <v>32</v>
      </c>
      <c r="B11" s="7">
        <v>28983</v>
      </c>
      <c r="C11" s="4">
        <f t="shared" ca="1" si="0"/>
        <v>46</v>
      </c>
      <c r="D11" s="4" t="str" cm="1">
        <f t="array" aca="1" ref="D11" ca="1">_xlfn.IFS(C11&lt;30, "18–29", C11&lt;40, "30–39", C11&lt;50, "40–49", C11&lt;60, "50–59", TRUE, "60+")</f>
        <v>40–49</v>
      </c>
      <c r="E11" s="4" t="s">
        <v>26</v>
      </c>
      <c r="F11" s="4" t="s">
        <v>20</v>
      </c>
      <c r="G11" s="4" t="s">
        <v>21</v>
      </c>
      <c r="H11" s="4" t="s">
        <v>20</v>
      </c>
      <c r="I11" s="4" t="s">
        <v>20</v>
      </c>
      <c r="J11" s="4" t="s">
        <v>20</v>
      </c>
      <c r="K11" s="4" t="s">
        <v>20</v>
      </c>
      <c r="L11" s="4" t="s">
        <v>22</v>
      </c>
      <c r="M11" s="4" t="s">
        <v>20</v>
      </c>
      <c r="N11" s="4" t="s">
        <v>20</v>
      </c>
      <c r="O11" s="4" t="s">
        <v>21</v>
      </c>
      <c r="P11" s="4" t="s">
        <v>21</v>
      </c>
      <c r="Q11" s="4" t="s">
        <v>21</v>
      </c>
      <c r="R11" s="4" t="s">
        <v>20</v>
      </c>
      <c r="S11" s="4" t="s">
        <v>21</v>
      </c>
    </row>
    <row r="12" spans="1:19" x14ac:dyDescent="0.35">
      <c r="A12" s="4" t="s">
        <v>33</v>
      </c>
      <c r="B12" s="7">
        <v>28897</v>
      </c>
      <c r="C12" s="4">
        <f t="shared" ca="1" si="0"/>
        <v>46</v>
      </c>
      <c r="D12" s="4" t="str" cm="1">
        <f t="array" aca="1" ref="D12" ca="1">_xlfn.IFS(C12&lt;30, "18–29", C12&lt;40, "30–39", C12&lt;50, "40–49", C12&lt;60, "50–59", TRUE, "60+")</f>
        <v>40–49</v>
      </c>
      <c r="E12" s="4" t="s">
        <v>19</v>
      </c>
      <c r="F12" s="4" t="s">
        <v>21</v>
      </c>
      <c r="G12" s="4" t="s">
        <v>21</v>
      </c>
      <c r="H12" s="4" t="s">
        <v>20</v>
      </c>
      <c r="I12" s="4" t="s">
        <v>20</v>
      </c>
      <c r="J12" s="4" t="s">
        <v>21</v>
      </c>
      <c r="K12" s="4" t="s">
        <v>20</v>
      </c>
      <c r="L12" s="4" t="s">
        <v>22</v>
      </c>
      <c r="M12" s="4" t="s">
        <v>20</v>
      </c>
      <c r="N12" s="4" t="s">
        <v>20</v>
      </c>
      <c r="O12" s="4" t="s">
        <v>20</v>
      </c>
      <c r="P12" s="4" t="s">
        <v>20</v>
      </c>
      <c r="Q12" s="4" t="s">
        <v>20</v>
      </c>
      <c r="R12" s="4" t="s">
        <v>21</v>
      </c>
      <c r="S12" s="4" t="s">
        <v>20</v>
      </c>
    </row>
    <row r="13" spans="1:19" x14ac:dyDescent="0.35">
      <c r="A13" s="4" t="s">
        <v>34</v>
      </c>
      <c r="B13" s="7">
        <v>29434</v>
      </c>
      <c r="C13" s="4">
        <f t="shared" ca="1" si="0"/>
        <v>44</v>
      </c>
      <c r="D13" s="4" t="str" cm="1">
        <f t="array" aca="1" ref="D13" ca="1">_xlfn.IFS(C13&lt;30, "18–29", C13&lt;40, "30–39", C13&lt;50, "40–49", C13&lt;60, "50–59", TRUE, "60+")</f>
        <v>40–49</v>
      </c>
      <c r="E13" s="4" t="s">
        <v>26</v>
      </c>
      <c r="F13" s="4" t="s">
        <v>21</v>
      </c>
      <c r="G13" s="4" t="s">
        <v>21</v>
      </c>
      <c r="H13" s="4" t="s">
        <v>20</v>
      </c>
      <c r="I13" s="4" t="s">
        <v>20</v>
      </c>
      <c r="J13" s="4" t="s">
        <v>21</v>
      </c>
      <c r="K13" s="4" t="s">
        <v>20</v>
      </c>
      <c r="L13" s="4" t="s">
        <v>22</v>
      </c>
      <c r="M13" s="4" t="s">
        <v>21</v>
      </c>
      <c r="N13" s="4" t="s">
        <v>21</v>
      </c>
      <c r="O13" s="4" t="s">
        <v>21</v>
      </c>
      <c r="P13" s="4" t="s">
        <v>21</v>
      </c>
      <c r="Q13" s="4" t="s">
        <v>21</v>
      </c>
      <c r="R13" s="4" t="s">
        <v>21</v>
      </c>
      <c r="S13" s="4" t="s">
        <v>20</v>
      </c>
    </row>
    <row r="14" spans="1:19" x14ac:dyDescent="0.35">
      <c r="A14" s="4" t="s">
        <v>35</v>
      </c>
      <c r="B14" s="7">
        <v>36427</v>
      </c>
      <c r="C14" s="4">
        <f t="shared" ca="1" si="0"/>
        <v>25</v>
      </c>
      <c r="D14" s="4" t="str" cm="1">
        <f t="array" aca="1" ref="D14" ca="1">_xlfn.IFS(C14&lt;30, "18–29", C14&lt;40, "30–39", C14&lt;50, "40–49", C14&lt;60, "50–59", TRUE, "60+")</f>
        <v>18–29</v>
      </c>
      <c r="E14" s="4" t="s">
        <v>26</v>
      </c>
      <c r="F14" s="4" t="s">
        <v>21</v>
      </c>
      <c r="G14" s="4" t="s">
        <v>20</v>
      </c>
      <c r="H14" s="4" t="s">
        <v>21</v>
      </c>
      <c r="I14" s="4" t="s">
        <v>20</v>
      </c>
      <c r="J14" s="4" t="s">
        <v>20</v>
      </c>
      <c r="K14" s="4" t="s">
        <v>21</v>
      </c>
      <c r="L14" s="4" t="s">
        <v>22</v>
      </c>
      <c r="M14" s="4" t="s">
        <v>21</v>
      </c>
      <c r="N14" s="4" t="s">
        <v>21</v>
      </c>
      <c r="O14" s="4" t="s">
        <v>20</v>
      </c>
      <c r="P14" s="4" t="s">
        <v>20</v>
      </c>
      <c r="Q14" s="4" t="s">
        <v>21</v>
      </c>
      <c r="R14" s="4" t="s">
        <v>21</v>
      </c>
      <c r="S14" s="4" t="s">
        <v>21</v>
      </c>
    </row>
    <row r="15" spans="1:19" x14ac:dyDescent="0.35">
      <c r="A15" s="4" t="s">
        <v>36</v>
      </c>
      <c r="B15" s="7">
        <v>29359</v>
      </c>
      <c r="C15" s="4">
        <f t="shared" ca="1" si="0"/>
        <v>45</v>
      </c>
      <c r="D15" s="4" t="str" cm="1">
        <f t="array" aca="1" ref="D15" ca="1">_xlfn.IFS(C15&lt;30, "18–29", C15&lt;40, "30–39", C15&lt;50, "40–49", C15&lt;60, "50–59", TRUE, "60+")</f>
        <v>40–49</v>
      </c>
      <c r="E15" s="4" t="s">
        <v>19</v>
      </c>
      <c r="F15" s="4" t="s">
        <v>21</v>
      </c>
      <c r="G15" s="4" t="s">
        <v>20</v>
      </c>
      <c r="H15" s="4" t="s">
        <v>21</v>
      </c>
      <c r="I15" s="4" t="s">
        <v>21</v>
      </c>
      <c r="J15" s="4" t="s">
        <v>21</v>
      </c>
      <c r="K15" s="4" t="s">
        <v>20</v>
      </c>
      <c r="L15" s="4" t="s">
        <v>22</v>
      </c>
      <c r="M15" s="4" t="s">
        <v>20</v>
      </c>
      <c r="N15" s="4" t="s">
        <v>21</v>
      </c>
      <c r="O15" s="4" t="s">
        <v>21</v>
      </c>
      <c r="P15" s="4" t="s">
        <v>20</v>
      </c>
      <c r="Q15" s="4" t="s">
        <v>21</v>
      </c>
      <c r="R15" s="4" t="s">
        <v>21</v>
      </c>
      <c r="S15" s="4" t="s">
        <v>21</v>
      </c>
    </row>
    <row r="16" spans="1:19" x14ac:dyDescent="0.35">
      <c r="A16" s="4" t="s">
        <v>37</v>
      </c>
      <c r="B16" s="7">
        <v>37488</v>
      </c>
      <c r="C16" s="4">
        <f t="shared" ca="1" si="0"/>
        <v>22</v>
      </c>
      <c r="D16" s="4" t="str" cm="1">
        <f t="array" aca="1" ref="D16" ca="1">_xlfn.IFS(C16&lt;30, "18–29", C16&lt;40, "30–39", C16&lt;50, "40–49", C16&lt;60, "50–59", TRUE, "60+")</f>
        <v>18–29</v>
      </c>
      <c r="E16" s="4" t="s">
        <v>26</v>
      </c>
      <c r="F16" s="4" t="s">
        <v>20</v>
      </c>
      <c r="G16" s="4" t="s">
        <v>21</v>
      </c>
      <c r="H16" s="4" t="s">
        <v>20</v>
      </c>
      <c r="I16" s="4" t="s">
        <v>21</v>
      </c>
      <c r="J16" s="4" t="s">
        <v>20</v>
      </c>
      <c r="K16" s="4" t="s">
        <v>20</v>
      </c>
      <c r="L16" s="4" t="s">
        <v>22</v>
      </c>
      <c r="M16" s="4" t="s">
        <v>21</v>
      </c>
      <c r="N16" s="4" t="s">
        <v>21</v>
      </c>
      <c r="O16" s="4" t="s">
        <v>20</v>
      </c>
      <c r="P16" s="4" t="s">
        <v>21</v>
      </c>
      <c r="Q16" s="4" t="s">
        <v>21</v>
      </c>
      <c r="R16" s="4" t="s">
        <v>21</v>
      </c>
      <c r="S16" s="4" t="s">
        <v>21</v>
      </c>
    </row>
    <row r="17" spans="1:19" x14ac:dyDescent="0.35">
      <c r="A17" s="4" t="s">
        <v>38</v>
      </c>
      <c r="B17" s="7">
        <v>21416</v>
      </c>
      <c r="C17" s="4">
        <f t="shared" ca="1" si="0"/>
        <v>66</v>
      </c>
      <c r="D17" s="4" t="str" cm="1">
        <f t="array" aca="1" ref="D17" ca="1">_xlfn.IFS(C17&lt;30, "18–29", C17&lt;40, "30–39", C17&lt;50, "40–49", C17&lt;60, "50–59", TRUE, "60+")</f>
        <v>60+</v>
      </c>
      <c r="E17" s="4" t="s">
        <v>26</v>
      </c>
      <c r="F17" s="4" t="s">
        <v>21</v>
      </c>
      <c r="G17" s="4" t="s">
        <v>21</v>
      </c>
      <c r="H17" s="4" t="s">
        <v>21</v>
      </c>
      <c r="I17" s="4" t="s">
        <v>20</v>
      </c>
      <c r="J17" s="4" t="s">
        <v>21</v>
      </c>
      <c r="K17" s="4" t="s">
        <v>20</v>
      </c>
      <c r="L17" s="4" t="s">
        <v>22</v>
      </c>
      <c r="M17" s="4" t="s">
        <v>21</v>
      </c>
      <c r="N17" s="4" t="s">
        <v>20</v>
      </c>
      <c r="O17" s="4" t="s">
        <v>20</v>
      </c>
      <c r="P17" s="4" t="s">
        <v>21</v>
      </c>
      <c r="Q17" s="4" t="s">
        <v>21</v>
      </c>
      <c r="R17" s="4" t="s">
        <v>20</v>
      </c>
      <c r="S17" s="4" t="s">
        <v>20</v>
      </c>
    </row>
    <row r="18" spans="1:19" x14ac:dyDescent="0.35">
      <c r="A18" s="4" t="s">
        <v>37</v>
      </c>
      <c r="B18" s="7">
        <v>21253</v>
      </c>
      <c r="C18" s="4">
        <f t="shared" ca="1" si="0"/>
        <v>67</v>
      </c>
      <c r="D18" s="4" t="str" cm="1">
        <f t="array" aca="1" ref="D18" ca="1">_xlfn.IFS(C18&lt;30, "18–29", C18&lt;40, "30–39", C18&lt;50, "40–49", C18&lt;60, "50–59", TRUE, "60+")</f>
        <v>60+</v>
      </c>
      <c r="E18" s="4" t="s">
        <v>19</v>
      </c>
      <c r="F18" s="4" t="s">
        <v>20</v>
      </c>
      <c r="G18" s="4" t="s">
        <v>21</v>
      </c>
      <c r="H18" s="4" t="s">
        <v>21</v>
      </c>
      <c r="I18" s="4" t="s">
        <v>20</v>
      </c>
      <c r="J18" s="4" t="s">
        <v>21</v>
      </c>
      <c r="K18" s="4" t="s">
        <v>20</v>
      </c>
      <c r="L18" s="4" t="s">
        <v>22</v>
      </c>
      <c r="M18" s="4" t="s">
        <v>20</v>
      </c>
      <c r="N18" s="4" t="s">
        <v>20</v>
      </c>
      <c r="O18" s="4" t="s">
        <v>21</v>
      </c>
      <c r="P18" s="4" t="s">
        <v>21</v>
      </c>
      <c r="Q18" s="4" t="s">
        <v>20</v>
      </c>
      <c r="R18" s="4" t="s">
        <v>20</v>
      </c>
      <c r="S18" s="4" t="s">
        <v>20</v>
      </c>
    </row>
    <row r="19" spans="1:19" x14ac:dyDescent="0.35">
      <c r="A19" s="4" t="s">
        <v>39</v>
      </c>
      <c r="B19" s="7">
        <v>24684</v>
      </c>
      <c r="C19" s="4">
        <f t="shared" ca="1" si="0"/>
        <v>58</v>
      </c>
      <c r="D19" s="4" t="str" cm="1">
        <f t="array" aca="1" ref="D19" ca="1">_xlfn.IFS(C19&lt;30, "18–29", C19&lt;40, "30–39", C19&lt;50, "40–49", C19&lt;60, "50–59", TRUE, "60+")</f>
        <v>50–59</v>
      </c>
      <c r="E19" s="4" t="s">
        <v>19</v>
      </c>
      <c r="F19" s="4" t="s">
        <v>20</v>
      </c>
      <c r="G19" s="4" t="s">
        <v>20</v>
      </c>
      <c r="H19" s="4" t="s">
        <v>20</v>
      </c>
      <c r="I19" s="4" t="s">
        <v>20</v>
      </c>
      <c r="J19" s="4" t="s">
        <v>21</v>
      </c>
      <c r="K19" s="4" t="s">
        <v>21</v>
      </c>
      <c r="L19" s="4" t="s">
        <v>22</v>
      </c>
      <c r="M19" s="4" t="s">
        <v>20</v>
      </c>
      <c r="N19" s="4" t="s">
        <v>21</v>
      </c>
      <c r="O19" s="4" t="s">
        <v>20</v>
      </c>
      <c r="P19" s="4" t="s">
        <v>20</v>
      </c>
      <c r="Q19" s="4" t="s">
        <v>20</v>
      </c>
      <c r="R19" s="4" t="s">
        <v>20</v>
      </c>
      <c r="S19" s="4" t="s">
        <v>21</v>
      </c>
    </row>
    <row r="20" spans="1:19" x14ac:dyDescent="0.35">
      <c r="A20" s="4" t="s">
        <v>40</v>
      </c>
      <c r="B20" s="7">
        <v>17881</v>
      </c>
      <c r="C20" s="4">
        <f t="shared" ca="1" si="0"/>
        <v>76</v>
      </c>
      <c r="D20" s="4" t="str" cm="1">
        <f t="array" aca="1" ref="D20" ca="1">_xlfn.IFS(C20&lt;30, "18–29", C20&lt;40, "30–39", C20&lt;50, "40–49", C20&lt;60, "50–59", TRUE, "60+")</f>
        <v>60+</v>
      </c>
      <c r="E20" s="4" t="s">
        <v>26</v>
      </c>
      <c r="F20" s="4" t="s">
        <v>20</v>
      </c>
      <c r="G20" s="4" t="s">
        <v>20</v>
      </c>
      <c r="H20" s="4" t="s">
        <v>20</v>
      </c>
      <c r="I20" s="4" t="s">
        <v>20</v>
      </c>
      <c r="J20" s="4" t="s">
        <v>21</v>
      </c>
      <c r="K20" s="4" t="s">
        <v>20</v>
      </c>
      <c r="L20" s="4" t="s">
        <v>22</v>
      </c>
      <c r="M20" s="4" t="s">
        <v>21</v>
      </c>
      <c r="N20" s="4" t="s">
        <v>20</v>
      </c>
      <c r="O20" s="4" t="s">
        <v>20</v>
      </c>
      <c r="P20" s="4" t="s">
        <v>20</v>
      </c>
      <c r="Q20" s="4" t="s">
        <v>21</v>
      </c>
      <c r="R20" s="4" t="s">
        <v>20</v>
      </c>
      <c r="S20" s="4" t="s">
        <v>21</v>
      </c>
    </row>
    <row r="21" spans="1:19" x14ac:dyDescent="0.35">
      <c r="A21" s="4" t="s">
        <v>41</v>
      </c>
      <c r="B21" s="7">
        <v>33783</v>
      </c>
      <c r="C21" s="4">
        <f t="shared" ca="1" si="0"/>
        <v>33</v>
      </c>
      <c r="D21" s="4" t="str" cm="1">
        <f t="array" aca="1" ref="D21" ca="1">_xlfn.IFS(C21&lt;30, "18–29", C21&lt;40, "30–39", C21&lt;50, "40–49", C21&lt;60, "50–59", TRUE, "60+")</f>
        <v>30–39</v>
      </c>
      <c r="E21" s="4" t="s">
        <v>26</v>
      </c>
      <c r="F21" s="4" t="s">
        <v>20</v>
      </c>
      <c r="G21" s="4" t="s">
        <v>20</v>
      </c>
      <c r="H21" s="4" t="s">
        <v>20</v>
      </c>
      <c r="I21" s="4" t="s">
        <v>20</v>
      </c>
      <c r="J21" s="4" t="s">
        <v>21</v>
      </c>
      <c r="K21" s="4" t="s">
        <v>20</v>
      </c>
      <c r="L21" s="4" t="s">
        <v>22</v>
      </c>
      <c r="M21" s="4" t="s">
        <v>20</v>
      </c>
      <c r="N21" s="4" t="s">
        <v>20</v>
      </c>
      <c r="O21" s="4" t="s">
        <v>21</v>
      </c>
      <c r="P21" s="4" t="s">
        <v>21</v>
      </c>
      <c r="Q21" s="4" t="s">
        <v>20</v>
      </c>
      <c r="R21" s="4" t="s">
        <v>21</v>
      </c>
      <c r="S21" s="4" t="s">
        <v>21</v>
      </c>
    </row>
    <row r="22" spans="1:19" x14ac:dyDescent="0.35">
      <c r="A22" s="4" t="s">
        <v>42</v>
      </c>
      <c r="B22" s="7">
        <v>23184</v>
      </c>
      <c r="C22" s="4">
        <f t="shared" ca="1" si="0"/>
        <v>62</v>
      </c>
      <c r="D22" s="4" t="str" cm="1">
        <f t="array" aca="1" ref="D22" ca="1">_xlfn.IFS(C22&lt;30, "18–29", C22&lt;40, "30–39", C22&lt;50, "40–49", C22&lt;60, "50–59", TRUE, "60+")</f>
        <v>60+</v>
      </c>
      <c r="E22" s="4" t="s">
        <v>19</v>
      </c>
      <c r="F22" s="4" t="s">
        <v>20</v>
      </c>
      <c r="G22" s="4" t="s">
        <v>20</v>
      </c>
      <c r="H22" s="4" t="s">
        <v>20</v>
      </c>
      <c r="I22" s="4" t="s">
        <v>21</v>
      </c>
      <c r="J22" s="4" t="s">
        <v>20</v>
      </c>
      <c r="K22" s="4" t="s">
        <v>20</v>
      </c>
      <c r="L22" s="4" t="s">
        <v>22</v>
      </c>
      <c r="M22" s="4" t="s">
        <v>21</v>
      </c>
      <c r="N22" s="4" t="s">
        <v>21</v>
      </c>
      <c r="O22" s="4" t="s">
        <v>20</v>
      </c>
      <c r="P22" s="4" t="s">
        <v>21</v>
      </c>
      <c r="Q22" s="4" t="s">
        <v>21</v>
      </c>
      <c r="R22" s="4" t="s">
        <v>21</v>
      </c>
      <c r="S22" s="4" t="s">
        <v>20</v>
      </c>
    </row>
    <row r="23" spans="1:19" x14ac:dyDescent="0.35">
      <c r="A23" s="4" t="s">
        <v>43</v>
      </c>
      <c r="B23" s="7">
        <v>16501</v>
      </c>
      <c r="C23" s="4">
        <f t="shared" ca="1" si="0"/>
        <v>80</v>
      </c>
      <c r="D23" s="4" t="str" cm="1">
        <f t="array" aca="1" ref="D23" ca="1">_xlfn.IFS(C23&lt;30, "18–29", C23&lt;40, "30–39", C23&lt;50, "40–49", C23&lt;60, "50–59", TRUE, "60+")</f>
        <v>60+</v>
      </c>
      <c r="E23" s="4" t="s">
        <v>26</v>
      </c>
      <c r="F23" s="4" t="s">
        <v>21</v>
      </c>
      <c r="G23" s="4" t="s">
        <v>20</v>
      </c>
      <c r="H23" s="4" t="s">
        <v>20</v>
      </c>
      <c r="I23" s="4" t="s">
        <v>20</v>
      </c>
      <c r="J23" s="4" t="s">
        <v>21</v>
      </c>
      <c r="K23" s="4" t="s">
        <v>21</v>
      </c>
      <c r="L23" s="4" t="s">
        <v>22</v>
      </c>
      <c r="M23" s="4" t="s">
        <v>20</v>
      </c>
      <c r="N23" s="4" t="s">
        <v>21</v>
      </c>
      <c r="O23" s="4" t="s">
        <v>20</v>
      </c>
      <c r="P23" s="4" t="s">
        <v>20</v>
      </c>
      <c r="Q23" s="4" t="s">
        <v>20</v>
      </c>
      <c r="R23" s="4" t="s">
        <v>20</v>
      </c>
      <c r="S23" s="4" t="s">
        <v>20</v>
      </c>
    </row>
    <row r="24" spans="1:19" x14ac:dyDescent="0.35">
      <c r="A24" s="4" t="s">
        <v>44</v>
      </c>
      <c r="B24" s="7">
        <v>13633</v>
      </c>
      <c r="C24" s="4">
        <f t="shared" ca="1" si="0"/>
        <v>88</v>
      </c>
      <c r="D24" s="4" t="str" cm="1">
        <f t="array" aca="1" ref="D24" ca="1">_xlfn.IFS(C24&lt;30, "18–29", C24&lt;40, "30–39", C24&lt;50, "40–49", C24&lt;60, "50–59", TRUE, "60+")</f>
        <v>60+</v>
      </c>
      <c r="E24" s="4" t="s">
        <v>26</v>
      </c>
      <c r="F24" s="4" t="s">
        <v>20</v>
      </c>
      <c r="G24" s="4" t="s">
        <v>21</v>
      </c>
      <c r="H24" s="4" t="s">
        <v>21</v>
      </c>
      <c r="I24" s="4" t="s">
        <v>20</v>
      </c>
      <c r="J24" s="4" t="s">
        <v>21</v>
      </c>
      <c r="K24" s="4" t="s">
        <v>20</v>
      </c>
      <c r="L24" s="4" t="s">
        <v>22</v>
      </c>
      <c r="M24" s="4" t="s">
        <v>20</v>
      </c>
      <c r="N24" s="4" t="s">
        <v>20</v>
      </c>
      <c r="O24" s="4" t="s">
        <v>21</v>
      </c>
      <c r="P24" s="4" t="s">
        <v>21</v>
      </c>
      <c r="Q24" s="4" t="s">
        <v>21</v>
      </c>
      <c r="R24" s="4" t="s">
        <v>21</v>
      </c>
      <c r="S24" s="4" t="s">
        <v>21</v>
      </c>
    </row>
    <row r="25" spans="1:19" x14ac:dyDescent="0.35">
      <c r="A25" s="4" t="s">
        <v>45</v>
      </c>
      <c r="B25" s="7">
        <v>15651</v>
      </c>
      <c r="C25" s="4">
        <f t="shared" ca="1" si="0"/>
        <v>82</v>
      </c>
      <c r="D25" s="4" t="str" cm="1">
        <f t="array" aca="1" ref="D25" ca="1">_xlfn.IFS(C25&lt;30, "18–29", C25&lt;40, "30–39", C25&lt;50, "40–49", C25&lt;60, "50–59", TRUE, "60+")</f>
        <v>60+</v>
      </c>
      <c r="E25" s="4" t="s">
        <v>19</v>
      </c>
      <c r="F25" s="4" t="s">
        <v>20</v>
      </c>
      <c r="G25" s="4" t="s">
        <v>20</v>
      </c>
      <c r="H25" s="4" t="s">
        <v>21</v>
      </c>
      <c r="I25" s="4" t="s">
        <v>20</v>
      </c>
      <c r="J25" s="4" t="s">
        <v>20</v>
      </c>
      <c r="K25" s="4" t="s">
        <v>20</v>
      </c>
      <c r="L25" s="4" t="s">
        <v>22</v>
      </c>
      <c r="M25" s="4" t="s">
        <v>21</v>
      </c>
      <c r="N25" s="4" t="s">
        <v>21</v>
      </c>
      <c r="O25" s="4" t="s">
        <v>20</v>
      </c>
      <c r="P25" s="4" t="s">
        <v>21</v>
      </c>
      <c r="Q25" s="4" t="s">
        <v>21</v>
      </c>
      <c r="R25" s="4" t="s">
        <v>21</v>
      </c>
      <c r="S25" s="4" t="s">
        <v>20</v>
      </c>
    </row>
    <row r="26" spans="1:19" x14ac:dyDescent="0.35">
      <c r="A26" s="4" t="s">
        <v>46</v>
      </c>
      <c r="B26" s="7">
        <v>22636</v>
      </c>
      <c r="C26" s="4">
        <f t="shared" ca="1" si="0"/>
        <v>63</v>
      </c>
      <c r="D26" s="4" t="str" cm="1">
        <f t="array" aca="1" ref="D26" ca="1">_xlfn.IFS(C26&lt;30, "18–29", C26&lt;40, "30–39", C26&lt;50, "40–49", C26&lt;60, "50–59", TRUE, "60+")</f>
        <v>60+</v>
      </c>
      <c r="E26" s="4" t="s">
        <v>19</v>
      </c>
      <c r="F26" s="4" t="s">
        <v>20</v>
      </c>
      <c r="G26" s="4" t="s">
        <v>21</v>
      </c>
      <c r="H26" s="4" t="s">
        <v>21</v>
      </c>
      <c r="I26" s="4" t="s">
        <v>20</v>
      </c>
      <c r="J26" s="4" t="s">
        <v>21</v>
      </c>
      <c r="K26" s="4" t="s">
        <v>21</v>
      </c>
      <c r="L26" s="4" t="s">
        <v>22</v>
      </c>
      <c r="M26" s="4" t="s">
        <v>21</v>
      </c>
      <c r="N26" s="4" t="s">
        <v>20</v>
      </c>
      <c r="O26" s="4" t="s">
        <v>20</v>
      </c>
      <c r="P26" s="4" t="s">
        <v>21</v>
      </c>
      <c r="Q26" s="4" t="s">
        <v>20</v>
      </c>
      <c r="R26" s="4" t="s">
        <v>20</v>
      </c>
      <c r="S26" s="4" t="s">
        <v>20</v>
      </c>
    </row>
    <row r="27" spans="1:19" x14ac:dyDescent="0.35">
      <c r="A27" s="4" t="s">
        <v>47</v>
      </c>
      <c r="B27" s="7">
        <v>15962</v>
      </c>
      <c r="C27" s="4">
        <f t="shared" ca="1" si="0"/>
        <v>81</v>
      </c>
      <c r="D27" s="4" t="str" cm="1">
        <f t="array" aca="1" ref="D27" ca="1">_xlfn.IFS(C27&lt;30, "18–29", C27&lt;40, "30–39", C27&lt;50, "40–49", C27&lt;60, "50–59", TRUE, "60+")</f>
        <v>60+</v>
      </c>
      <c r="E27" s="4" t="s">
        <v>26</v>
      </c>
      <c r="F27" s="4" t="s">
        <v>21</v>
      </c>
      <c r="G27" s="4" t="s">
        <v>21</v>
      </c>
      <c r="H27" s="4" t="s">
        <v>21</v>
      </c>
      <c r="I27" s="4" t="s">
        <v>21</v>
      </c>
      <c r="J27" s="4" t="s">
        <v>21</v>
      </c>
      <c r="K27" s="4" t="s">
        <v>21</v>
      </c>
      <c r="L27" s="4" t="s">
        <v>22</v>
      </c>
      <c r="M27" s="4" t="s">
        <v>21</v>
      </c>
      <c r="N27" s="4" t="s">
        <v>21</v>
      </c>
      <c r="O27" s="4" t="s">
        <v>20</v>
      </c>
      <c r="P27" s="4" t="s">
        <v>21</v>
      </c>
      <c r="Q27" s="4" t="s">
        <v>21</v>
      </c>
      <c r="R27" s="4" t="s">
        <v>21</v>
      </c>
      <c r="S27" s="4" t="s">
        <v>20</v>
      </c>
    </row>
    <row r="28" spans="1:19" x14ac:dyDescent="0.35">
      <c r="A28" s="4" t="s">
        <v>48</v>
      </c>
      <c r="B28" s="7">
        <v>32023</v>
      </c>
      <c r="C28" s="4">
        <f t="shared" ca="1" si="0"/>
        <v>37</v>
      </c>
      <c r="D28" s="4" t="str" cm="1">
        <f t="array" aca="1" ref="D28" ca="1">_xlfn.IFS(C28&lt;30, "18–29", C28&lt;40, "30–39", C28&lt;50, "40–49", C28&lt;60, "50–59", TRUE, "60+")</f>
        <v>30–39</v>
      </c>
      <c r="E28" s="4" t="s">
        <v>19</v>
      </c>
      <c r="F28" s="4" t="s">
        <v>20</v>
      </c>
      <c r="G28" s="4" t="s">
        <v>21</v>
      </c>
      <c r="H28" s="4" t="s">
        <v>21</v>
      </c>
      <c r="I28" s="4" t="s">
        <v>20</v>
      </c>
      <c r="J28" s="4" t="s">
        <v>21</v>
      </c>
      <c r="K28" s="4" t="s">
        <v>20</v>
      </c>
      <c r="L28" s="4" t="s">
        <v>22</v>
      </c>
      <c r="M28" s="4" t="s">
        <v>21</v>
      </c>
      <c r="N28" s="4" t="s">
        <v>21</v>
      </c>
      <c r="O28" s="4" t="s">
        <v>21</v>
      </c>
      <c r="P28" s="4" t="s">
        <v>20</v>
      </c>
      <c r="Q28" s="4" t="s">
        <v>20</v>
      </c>
      <c r="R28" s="4" t="s">
        <v>20</v>
      </c>
      <c r="S28" s="4" t="s">
        <v>20</v>
      </c>
    </row>
    <row r="29" spans="1:19" x14ac:dyDescent="0.35">
      <c r="A29" s="4" t="s">
        <v>49</v>
      </c>
      <c r="B29" s="7">
        <v>20465</v>
      </c>
      <c r="C29" s="4">
        <f t="shared" ca="1" si="0"/>
        <v>69</v>
      </c>
      <c r="D29" s="4" t="str" cm="1">
        <f t="array" aca="1" ref="D29" ca="1">_xlfn.IFS(C29&lt;30, "18–29", C29&lt;40, "30–39", C29&lt;50, "40–49", C29&lt;60, "50–59", TRUE, "60+")</f>
        <v>60+</v>
      </c>
      <c r="E29" s="4" t="s">
        <v>19</v>
      </c>
      <c r="F29" s="4" t="s">
        <v>21</v>
      </c>
      <c r="G29" s="4" t="s">
        <v>20</v>
      </c>
      <c r="H29" s="4" t="s">
        <v>20</v>
      </c>
      <c r="I29" s="4" t="s">
        <v>20</v>
      </c>
      <c r="J29" s="4" t="s">
        <v>20</v>
      </c>
      <c r="K29" s="4" t="s">
        <v>21</v>
      </c>
      <c r="L29" s="4" t="s">
        <v>22</v>
      </c>
      <c r="M29" s="4" t="s">
        <v>21</v>
      </c>
      <c r="N29" s="4" t="s">
        <v>20</v>
      </c>
      <c r="O29" s="4" t="s">
        <v>21</v>
      </c>
      <c r="P29" s="4" t="s">
        <v>21</v>
      </c>
      <c r="Q29" s="4" t="s">
        <v>20</v>
      </c>
      <c r="R29" s="4" t="s">
        <v>21</v>
      </c>
      <c r="S29" s="4" t="s">
        <v>20</v>
      </c>
    </row>
    <row r="30" spans="1:19" x14ac:dyDescent="0.35">
      <c r="A30" s="4" t="s">
        <v>50</v>
      </c>
      <c r="B30" s="7">
        <v>33251</v>
      </c>
      <c r="C30" s="4">
        <f t="shared" ca="1" si="0"/>
        <v>34</v>
      </c>
      <c r="D30" s="4" t="str" cm="1">
        <f t="array" aca="1" ref="D30" ca="1">_xlfn.IFS(C30&lt;30, "18–29", C30&lt;40, "30–39", C30&lt;50, "40–49", C30&lt;60, "50–59", TRUE, "60+")</f>
        <v>30–39</v>
      </c>
      <c r="E30" s="4" t="s">
        <v>19</v>
      </c>
      <c r="F30" s="4" t="s">
        <v>21</v>
      </c>
      <c r="G30" s="4" t="s">
        <v>20</v>
      </c>
      <c r="H30" s="4" t="s">
        <v>20</v>
      </c>
      <c r="I30" s="4" t="s">
        <v>20</v>
      </c>
      <c r="J30" s="4" t="s">
        <v>20</v>
      </c>
      <c r="K30" s="4" t="s">
        <v>21</v>
      </c>
      <c r="L30" s="4" t="s">
        <v>22</v>
      </c>
      <c r="M30" s="4" t="s">
        <v>20</v>
      </c>
      <c r="N30" s="4" t="s">
        <v>20</v>
      </c>
      <c r="O30" s="4" t="s">
        <v>20</v>
      </c>
      <c r="P30" s="4" t="s">
        <v>20</v>
      </c>
      <c r="Q30" s="4" t="s">
        <v>20</v>
      </c>
      <c r="R30" s="4" t="s">
        <v>20</v>
      </c>
      <c r="S30" s="4" t="s">
        <v>20</v>
      </c>
    </row>
    <row r="31" spans="1:19" x14ac:dyDescent="0.35">
      <c r="A31" s="4" t="s">
        <v>51</v>
      </c>
      <c r="B31" s="7">
        <v>21723</v>
      </c>
      <c r="C31" s="4">
        <f t="shared" ca="1" si="0"/>
        <v>66</v>
      </c>
      <c r="D31" s="4" t="str" cm="1">
        <f t="array" aca="1" ref="D31" ca="1">_xlfn.IFS(C31&lt;30, "18–29", C31&lt;40, "30–39", C31&lt;50, "40–49", C31&lt;60, "50–59", TRUE, "60+")</f>
        <v>60+</v>
      </c>
      <c r="E31" s="4" t="s">
        <v>19</v>
      </c>
      <c r="F31" s="4" t="s">
        <v>21</v>
      </c>
      <c r="G31" s="4" t="s">
        <v>21</v>
      </c>
      <c r="H31" s="4" t="s">
        <v>21</v>
      </c>
      <c r="I31" s="4" t="s">
        <v>21</v>
      </c>
      <c r="J31" s="4" t="s">
        <v>21</v>
      </c>
      <c r="K31" s="4" t="s">
        <v>20</v>
      </c>
      <c r="L31" s="4" t="s">
        <v>22</v>
      </c>
      <c r="M31" s="4" t="s">
        <v>21</v>
      </c>
      <c r="N31" s="4" t="s">
        <v>21</v>
      </c>
      <c r="O31" s="4" t="s">
        <v>21</v>
      </c>
      <c r="P31" s="4" t="s">
        <v>20</v>
      </c>
      <c r="Q31" s="4" t="s">
        <v>21</v>
      </c>
      <c r="R31" s="4" t="s">
        <v>20</v>
      </c>
      <c r="S31" s="4" t="s">
        <v>21</v>
      </c>
    </row>
    <row r="32" spans="1:19" x14ac:dyDescent="0.35">
      <c r="A32" s="4" t="s">
        <v>52</v>
      </c>
      <c r="B32" s="7">
        <v>33881</v>
      </c>
      <c r="C32" s="4">
        <f t="shared" ca="1" si="0"/>
        <v>32</v>
      </c>
      <c r="D32" s="4" t="str" cm="1">
        <f t="array" aca="1" ref="D32" ca="1">_xlfn.IFS(C32&lt;30, "18–29", C32&lt;40, "30–39", C32&lt;50, "40–49", C32&lt;60, "50–59", TRUE, "60+")</f>
        <v>30–39</v>
      </c>
      <c r="E32" s="4" t="s">
        <v>26</v>
      </c>
      <c r="F32" s="4" t="s">
        <v>21</v>
      </c>
      <c r="G32" s="4" t="s">
        <v>21</v>
      </c>
      <c r="H32" s="4" t="s">
        <v>20</v>
      </c>
      <c r="I32" s="4" t="s">
        <v>20</v>
      </c>
      <c r="J32" s="4" t="s">
        <v>21</v>
      </c>
      <c r="K32" s="4" t="s">
        <v>21</v>
      </c>
      <c r="L32" s="4" t="s">
        <v>22</v>
      </c>
      <c r="M32" s="4" t="s">
        <v>21</v>
      </c>
      <c r="N32" s="4" t="s">
        <v>21</v>
      </c>
      <c r="O32" s="4" t="s">
        <v>21</v>
      </c>
      <c r="P32" s="4" t="s">
        <v>20</v>
      </c>
      <c r="Q32" s="4" t="s">
        <v>20</v>
      </c>
      <c r="R32" s="4" t="s">
        <v>20</v>
      </c>
      <c r="S32" s="4" t="s">
        <v>20</v>
      </c>
    </row>
    <row r="33" spans="1:19" x14ac:dyDescent="0.35">
      <c r="A33" s="4" t="s">
        <v>49</v>
      </c>
      <c r="B33" s="7">
        <v>33593</v>
      </c>
      <c r="C33" s="4">
        <f t="shared" ca="1" si="0"/>
        <v>33</v>
      </c>
      <c r="D33" s="4" t="str" cm="1">
        <f t="array" aca="1" ref="D33" ca="1">_xlfn.IFS(C33&lt;30, "18–29", C33&lt;40, "30–39", C33&lt;50, "40–49", C33&lt;60, "50–59", TRUE, "60+")</f>
        <v>30–39</v>
      </c>
      <c r="E33" s="4" t="s">
        <v>19</v>
      </c>
      <c r="F33" s="4" t="s">
        <v>20</v>
      </c>
      <c r="G33" s="4" t="s">
        <v>20</v>
      </c>
      <c r="H33" s="4" t="s">
        <v>21</v>
      </c>
      <c r="I33" s="4" t="s">
        <v>20</v>
      </c>
      <c r="J33" s="4" t="s">
        <v>21</v>
      </c>
      <c r="K33" s="4" t="s">
        <v>21</v>
      </c>
      <c r="L33" s="4" t="s">
        <v>22</v>
      </c>
      <c r="M33" s="4" t="s">
        <v>21</v>
      </c>
      <c r="N33" s="4" t="s">
        <v>20</v>
      </c>
      <c r="O33" s="4" t="s">
        <v>20</v>
      </c>
      <c r="P33" s="4" t="s">
        <v>21</v>
      </c>
      <c r="Q33" s="4" t="s">
        <v>21</v>
      </c>
      <c r="R33" s="4" t="s">
        <v>21</v>
      </c>
      <c r="S33" s="4" t="s">
        <v>20</v>
      </c>
    </row>
    <row r="34" spans="1:19" x14ac:dyDescent="0.35">
      <c r="A34" s="4" t="s">
        <v>53</v>
      </c>
      <c r="B34" s="7">
        <v>21803</v>
      </c>
      <c r="C34" s="4">
        <f t="shared" ca="1" si="0"/>
        <v>65</v>
      </c>
      <c r="D34" s="4" t="str" cm="1">
        <f t="array" aca="1" ref="D34" ca="1">_xlfn.IFS(C34&lt;30, "18–29", C34&lt;40, "30–39", C34&lt;50, "40–49", C34&lt;60, "50–59", TRUE, "60+")</f>
        <v>60+</v>
      </c>
      <c r="E34" s="4" t="s">
        <v>19</v>
      </c>
      <c r="F34" s="4" t="s">
        <v>21</v>
      </c>
      <c r="G34" s="4" t="s">
        <v>21</v>
      </c>
      <c r="H34" s="4" t="s">
        <v>20</v>
      </c>
      <c r="I34" s="4" t="s">
        <v>20</v>
      </c>
      <c r="J34" s="4" t="s">
        <v>20</v>
      </c>
      <c r="K34" s="4" t="s">
        <v>21</v>
      </c>
      <c r="L34" s="4" t="s">
        <v>22</v>
      </c>
      <c r="M34" s="4" t="s">
        <v>20</v>
      </c>
      <c r="N34" s="4" t="s">
        <v>20</v>
      </c>
      <c r="O34" s="4" t="s">
        <v>21</v>
      </c>
      <c r="P34" s="4" t="s">
        <v>21</v>
      </c>
      <c r="Q34" s="4" t="s">
        <v>20</v>
      </c>
      <c r="R34" s="4" t="s">
        <v>21</v>
      </c>
      <c r="S34" s="4" t="s">
        <v>21</v>
      </c>
    </row>
    <row r="35" spans="1:19" x14ac:dyDescent="0.35">
      <c r="A35" s="4" t="s">
        <v>47</v>
      </c>
      <c r="B35" s="7">
        <v>15680</v>
      </c>
      <c r="C35" s="4">
        <f t="shared" ca="1" si="0"/>
        <v>82</v>
      </c>
      <c r="D35" s="4" t="str" cm="1">
        <f t="array" aca="1" ref="D35" ca="1">_xlfn.IFS(C35&lt;30, "18–29", C35&lt;40, "30–39", C35&lt;50, "40–49", C35&lt;60, "50–59", TRUE, "60+")</f>
        <v>60+</v>
      </c>
      <c r="E35" s="4" t="s">
        <v>26</v>
      </c>
      <c r="F35" s="4" t="s">
        <v>20</v>
      </c>
      <c r="G35" s="4" t="s">
        <v>21</v>
      </c>
      <c r="H35" s="4" t="s">
        <v>20</v>
      </c>
      <c r="I35" s="4" t="s">
        <v>20</v>
      </c>
      <c r="J35" s="4" t="s">
        <v>20</v>
      </c>
      <c r="K35" s="4" t="s">
        <v>21</v>
      </c>
      <c r="L35" s="4" t="s">
        <v>22</v>
      </c>
      <c r="M35" s="4" t="s">
        <v>21</v>
      </c>
      <c r="N35" s="4" t="s">
        <v>20</v>
      </c>
      <c r="O35" s="4" t="s">
        <v>20</v>
      </c>
      <c r="P35" s="4" t="s">
        <v>21</v>
      </c>
      <c r="Q35" s="4" t="s">
        <v>20</v>
      </c>
      <c r="R35" s="4" t="s">
        <v>20</v>
      </c>
      <c r="S35" s="4" t="s">
        <v>21</v>
      </c>
    </row>
    <row r="36" spans="1:19" x14ac:dyDescent="0.35">
      <c r="A36" s="4" t="s">
        <v>54</v>
      </c>
      <c r="B36" s="7">
        <v>14841</v>
      </c>
      <c r="C36" s="4">
        <f t="shared" ca="1" si="0"/>
        <v>84</v>
      </c>
      <c r="D36" s="4" t="str" cm="1">
        <f t="array" aca="1" ref="D36" ca="1">_xlfn.IFS(C36&lt;30, "18–29", C36&lt;40, "30–39", C36&lt;50, "40–49", C36&lt;60, "50–59", TRUE, "60+")</f>
        <v>60+</v>
      </c>
      <c r="E36" s="4" t="s">
        <v>26</v>
      </c>
      <c r="F36" s="4" t="s">
        <v>20</v>
      </c>
      <c r="G36" s="4" t="s">
        <v>21</v>
      </c>
      <c r="H36" s="4" t="s">
        <v>21</v>
      </c>
      <c r="I36" s="4" t="s">
        <v>20</v>
      </c>
      <c r="J36" s="4" t="s">
        <v>21</v>
      </c>
      <c r="K36" s="4" t="s">
        <v>21</v>
      </c>
      <c r="L36" s="4" t="s">
        <v>22</v>
      </c>
      <c r="M36" s="4" t="s">
        <v>21</v>
      </c>
      <c r="N36" s="4" t="s">
        <v>20</v>
      </c>
      <c r="O36" s="4" t="s">
        <v>20</v>
      </c>
      <c r="P36" s="4" t="s">
        <v>21</v>
      </c>
      <c r="Q36" s="4" t="s">
        <v>20</v>
      </c>
      <c r="R36" s="4" t="s">
        <v>21</v>
      </c>
      <c r="S36" s="4" t="s">
        <v>21</v>
      </c>
    </row>
    <row r="37" spans="1:19" x14ac:dyDescent="0.35">
      <c r="A37" s="4" t="s">
        <v>55</v>
      </c>
      <c r="B37" s="7">
        <v>15257</v>
      </c>
      <c r="C37" s="4">
        <f t="shared" ca="1" si="0"/>
        <v>83</v>
      </c>
      <c r="D37" s="4" t="str" cm="1">
        <f t="array" aca="1" ref="D37" ca="1">_xlfn.IFS(C37&lt;30, "18–29", C37&lt;40, "30–39", C37&lt;50, "40–49", C37&lt;60, "50–59", TRUE, "60+")</f>
        <v>60+</v>
      </c>
      <c r="E37" s="4" t="s">
        <v>26</v>
      </c>
      <c r="F37" s="4" t="s">
        <v>21</v>
      </c>
      <c r="G37" s="4" t="s">
        <v>20</v>
      </c>
      <c r="H37" s="4" t="s">
        <v>20</v>
      </c>
      <c r="I37" s="4" t="s">
        <v>21</v>
      </c>
      <c r="J37" s="4" t="s">
        <v>21</v>
      </c>
      <c r="K37" s="4" t="s">
        <v>20</v>
      </c>
      <c r="L37" s="4" t="s">
        <v>22</v>
      </c>
      <c r="M37" s="4" t="s">
        <v>21</v>
      </c>
      <c r="N37" s="4" t="s">
        <v>20</v>
      </c>
      <c r="O37" s="4" t="s">
        <v>21</v>
      </c>
      <c r="P37" s="4" t="s">
        <v>21</v>
      </c>
      <c r="Q37" s="4" t="s">
        <v>21</v>
      </c>
      <c r="R37" s="4" t="s">
        <v>21</v>
      </c>
      <c r="S37" s="4" t="s">
        <v>21</v>
      </c>
    </row>
    <row r="38" spans="1:19" x14ac:dyDescent="0.35">
      <c r="A38" s="4" t="s">
        <v>56</v>
      </c>
      <c r="B38" s="7">
        <v>31862</v>
      </c>
      <c r="C38" s="4">
        <f t="shared" ca="1" si="0"/>
        <v>38</v>
      </c>
      <c r="D38" s="4" t="str" cm="1">
        <f t="array" aca="1" ref="D38" ca="1">_xlfn.IFS(C38&lt;30, "18–29", C38&lt;40, "30–39", C38&lt;50, "40–49", C38&lt;60, "50–59", TRUE, "60+")</f>
        <v>30–39</v>
      </c>
      <c r="E38" s="4" t="s">
        <v>26</v>
      </c>
      <c r="F38" s="4" t="s">
        <v>21</v>
      </c>
      <c r="G38" s="4" t="s">
        <v>21</v>
      </c>
      <c r="H38" s="4" t="s">
        <v>21</v>
      </c>
      <c r="I38" s="4" t="s">
        <v>21</v>
      </c>
      <c r="J38" s="4" t="s">
        <v>21</v>
      </c>
      <c r="K38" s="4" t="s">
        <v>20</v>
      </c>
      <c r="L38" s="4" t="s">
        <v>22</v>
      </c>
      <c r="M38" s="4" t="s">
        <v>21</v>
      </c>
      <c r="N38" s="4" t="s">
        <v>21</v>
      </c>
      <c r="O38" s="4" t="s">
        <v>21</v>
      </c>
      <c r="P38" s="4" t="s">
        <v>21</v>
      </c>
      <c r="Q38" s="4" t="s">
        <v>21</v>
      </c>
      <c r="R38" s="4" t="s">
        <v>20</v>
      </c>
      <c r="S38" s="4" t="s">
        <v>21</v>
      </c>
    </row>
    <row r="39" spans="1:19" x14ac:dyDescent="0.35">
      <c r="A39" s="4" t="s">
        <v>57</v>
      </c>
      <c r="B39" s="7">
        <v>26926</v>
      </c>
      <c r="C39" s="4">
        <f t="shared" ca="1" si="0"/>
        <v>51</v>
      </c>
      <c r="D39" s="4" t="str" cm="1">
        <f t="array" aca="1" ref="D39" ca="1">_xlfn.IFS(C39&lt;30, "18–29", C39&lt;40, "30–39", C39&lt;50, "40–49", C39&lt;60, "50–59", TRUE, "60+")</f>
        <v>50–59</v>
      </c>
      <c r="E39" s="4" t="s">
        <v>19</v>
      </c>
      <c r="F39" s="4" t="s">
        <v>21</v>
      </c>
      <c r="G39" s="4" t="s">
        <v>21</v>
      </c>
      <c r="H39" s="4" t="s">
        <v>21</v>
      </c>
      <c r="I39" s="4" t="s">
        <v>21</v>
      </c>
      <c r="J39" s="4" t="s">
        <v>20</v>
      </c>
      <c r="K39" s="4" t="s">
        <v>20</v>
      </c>
      <c r="L39" s="4" t="s">
        <v>22</v>
      </c>
      <c r="M39" s="4" t="s">
        <v>20</v>
      </c>
      <c r="N39" s="4" t="s">
        <v>21</v>
      </c>
      <c r="O39" s="4" t="s">
        <v>20</v>
      </c>
      <c r="P39" s="4" t="s">
        <v>21</v>
      </c>
      <c r="Q39" s="4" t="s">
        <v>21</v>
      </c>
      <c r="R39" s="4" t="s">
        <v>20</v>
      </c>
      <c r="S39" s="4" t="s">
        <v>21</v>
      </c>
    </row>
    <row r="40" spans="1:19" x14ac:dyDescent="0.35">
      <c r="A40" s="4" t="s">
        <v>58</v>
      </c>
      <c r="B40" s="7">
        <v>14701</v>
      </c>
      <c r="C40" s="4">
        <f t="shared" ca="1" si="0"/>
        <v>85</v>
      </c>
      <c r="D40" s="4" t="str" cm="1">
        <f t="array" aca="1" ref="D40" ca="1">_xlfn.IFS(C40&lt;30, "18–29", C40&lt;40, "30–39", C40&lt;50, "40–49", C40&lt;60, "50–59", TRUE, "60+")</f>
        <v>60+</v>
      </c>
      <c r="E40" s="4" t="s">
        <v>26</v>
      </c>
      <c r="F40" s="4" t="s">
        <v>21</v>
      </c>
      <c r="G40" s="4" t="s">
        <v>21</v>
      </c>
      <c r="H40" s="4" t="s">
        <v>21</v>
      </c>
      <c r="I40" s="4" t="s">
        <v>21</v>
      </c>
      <c r="J40" s="4" t="s">
        <v>21</v>
      </c>
      <c r="K40" s="4" t="s">
        <v>20</v>
      </c>
      <c r="L40" s="4" t="s">
        <v>22</v>
      </c>
      <c r="M40" s="4" t="s">
        <v>21</v>
      </c>
      <c r="N40" s="4" t="s">
        <v>21</v>
      </c>
      <c r="O40" s="4" t="s">
        <v>20</v>
      </c>
      <c r="P40" s="4" t="s">
        <v>21</v>
      </c>
      <c r="Q40" s="4" t="s">
        <v>20</v>
      </c>
      <c r="R40" s="4" t="s">
        <v>20</v>
      </c>
      <c r="S40" s="4" t="s">
        <v>21</v>
      </c>
    </row>
    <row r="41" spans="1:19" x14ac:dyDescent="0.35">
      <c r="A41" s="4" t="s">
        <v>59</v>
      </c>
      <c r="B41" s="7">
        <v>20345</v>
      </c>
      <c r="C41" s="4">
        <f t="shared" ca="1" si="0"/>
        <v>69</v>
      </c>
      <c r="D41" s="4" t="str" cm="1">
        <f t="array" aca="1" ref="D41" ca="1">_xlfn.IFS(C41&lt;30, "18–29", C41&lt;40, "30–39", C41&lt;50, "40–49", C41&lt;60, "50–59", TRUE, "60+")</f>
        <v>60+</v>
      </c>
      <c r="E41" s="4" t="s">
        <v>26</v>
      </c>
      <c r="F41" s="4" t="s">
        <v>20</v>
      </c>
      <c r="G41" s="4" t="s">
        <v>21</v>
      </c>
      <c r="H41" s="4" t="s">
        <v>21</v>
      </c>
      <c r="I41" s="4" t="s">
        <v>21</v>
      </c>
      <c r="J41" s="4" t="s">
        <v>20</v>
      </c>
      <c r="K41" s="4" t="s">
        <v>21</v>
      </c>
      <c r="L41" s="4" t="s">
        <v>22</v>
      </c>
      <c r="M41" s="4" t="s">
        <v>21</v>
      </c>
      <c r="N41" s="4" t="s">
        <v>21</v>
      </c>
      <c r="O41" s="4" t="s">
        <v>21</v>
      </c>
      <c r="P41" s="4" t="s">
        <v>20</v>
      </c>
      <c r="Q41" s="4" t="s">
        <v>20</v>
      </c>
      <c r="R41" s="4" t="s">
        <v>21</v>
      </c>
      <c r="S41" s="4" t="s">
        <v>21</v>
      </c>
    </row>
    <row r="42" spans="1:19" x14ac:dyDescent="0.35">
      <c r="A42" s="4" t="s">
        <v>60</v>
      </c>
      <c r="B42" s="7">
        <v>25333</v>
      </c>
      <c r="C42" s="4">
        <f t="shared" ca="1" si="0"/>
        <v>56</v>
      </c>
      <c r="D42" s="4" t="str" cm="1">
        <f t="array" aca="1" ref="D42" ca="1">_xlfn.IFS(C42&lt;30, "18–29", C42&lt;40, "30–39", C42&lt;50, "40–49", C42&lt;60, "50–59", TRUE, "60+")</f>
        <v>50–59</v>
      </c>
      <c r="E42" s="4" t="s">
        <v>19</v>
      </c>
      <c r="F42" s="4" t="s">
        <v>20</v>
      </c>
      <c r="G42" s="4" t="s">
        <v>20</v>
      </c>
      <c r="H42" s="4" t="s">
        <v>20</v>
      </c>
      <c r="I42" s="4" t="s">
        <v>21</v>
      </c>
      <c r="J42" s="4" t="s">
        <v>20</v>
      </c>
      <c r="K42" s="4" t="s">
        <v>20</v>
      </c>
      <c r="L42" s="4" t="s">
        <v>22</v>
      </c>
      <c r="M42" s="4" t="s">
        <v>21</v>
      </c>
      <c r="N42" s="4" t="s">
        <v>21</v>
      </c>
      <c r="O42" s="4" t="s">
        <v>20</v>
      </c>
      <c r="P42" s="4" t="s">
        <v>21</v>
      </c>
      <c r="Q42" s="4" t="s">
        <v>21</v>
      </c>
      <c r="R42" s="4" t="s">
        <v>21</v>
      </c>
      <c r="S42" s="4" t="s">
        <v>21</v>
      </c>
    </row>
    <row r="43" spans="1:19" x14ac:dyDescent="0.35">
      <c r="A43" s="4" t="s">
        <v>61</v>
      </c>
      <c r="B43" s="7">
        <v>38679</v>
      </c>
      <c r="C43" s="4">
        <f t="shared" ca="1" si="0"/>
        <v>19</v>
      </c>
      <c r="D43" s="4" t="str" cm="1">
        <f t="array" aca="1" ref="D43" ca="1">_xlfn.IFS(C43&lt;30, "18–29", C43&lt;40, "30–39", C43&lt;50, "40–49", C43&lt;60, "50–59", TRUE, "60+")</f>
        <v>18–29</v>
      </c>
      <c r="E43" s="4" t="s">
        <v>26</v>
      </c>
      <c r="F43" s="4" t="s">
        <v>21</v>
      </c>
      <c r="G43" s="4" t="s">
        <v>21</v>
      </c>
      <c r="H43" s="4" t="s">
        <v>21</v>
      </c>
      <c r="I43" s="4" t="s">
        <v>21</v>
      </c>
      <c r="J43" s="4" t="s">
        <v>21</v>
      </c>
      <c r="K43" s="4" t="s">
        <v>20</v>
      </c>
      <c r="L43" s="4" t="s">
        <v>22</v>
      </c>
      <c r="M43" s="4" t="s">
        <v>21</v>
      </c>
      <c r="N43" s="4" t="s">
        <v>21</v>
      </c>
      <c r="O43" s="4" t="s">
        <v>21</v>
      </c>
      <c r="P43" s="4" t="s">
        <v>20</v>
      </c>
      <c r="Q43" s="4" t="s">
        <v>20</v>
      </c>
      <c r="R43" s="4" t="s">
        <v>20</v>
      </c>
      <c r="S43" s="4" t="s">
        <v>20</v>
      </c>
    </row>
    <row r="44" spans="1:19" x14ac:dyDescent="0.35">
      <c r="A44" s="4" t="s">
        <v>62</v>
      </c>
      <c r="B44" s="7">
        <v>31698</v>
      </c>
      <c r="C44" s="4">
        <f t="shared" ca="1" si="0"/>
        <v>38</v>
      </c>
      <c r="D44" s="4" t="str" cm="1">
        <f t="array" aca="1" ref="D44" ca="1">_xlfn.IFS(C44&lt;30, "18–29", C44&lt;40, "30–39", C44&lt;50, "40–49", C44&lt;60, "50–59", TRUE, "60+")</f>
        <v>30–39</v>
      </c>
      <c r="E44" s="4" t="s">
        <v>19</v>
      </c>
      <c r="F44" s="4" t="s">
        <v>20</v>
      </c>
      <c r="G44" s="4" t="s">
        <v>20</v>
      </c>
      <c r="H44" s="4" t="s">
        <v>20</v>
      </c>
      <c r="I44" s="4" t="s">
        <v>20</v>
      </c>
      <c r="J44" s="4" t="s">
        <v>20</v>
      </c>
      <c r="K44" s="4" t="s">
        <v>21</v>
      </c>
      <c r="L44" s="4" t="s">
        <v>22</v>
      </c>
      <c r="M44" s="4" t="s">
        <v>21</v>
      </c>
      <c r="N44" s="4" t="s">
        <v>21</v>
      </c>
      <c r="O44" s="4" t="s">
        <v>20</v>
      </c>
      <c r="P44" s="4" t="s">
        <v>21</v>
      </c>
      <c r="Q44" s="4" t="s">
        <v>20</v>
      </c>
      <c r="R44" s="4" t="s">
        <v>21</v>
      </c>
      <c r="S44" s="4" t="s">
        <v>21</v>
      </c>
    </row>
    <row r="45" spans="1:19" x14ac:dyDescent="0.35">
      <c r="A45" s="4" t="s">
        <v>63</v>
      </c>
      <c r="B45" s="7">
        <v>15312</v>
      </c>
      <c r="C45" s="4">
        <f t="shared" ca="1" si="0"/>
        <v>83</v>
      </c>
      <c r="D45" s="4" t="str" cm="1">
        <f t="array" aca="1" ref="D45" ca="1">_xlfn.IFS(C45&lt;30, "18–29", C45&lt;40, "30–39", C45&lt;50, "40–49", C45&lt;60, "50–59", TRUE, "60+")</f>
        <v>60+</v>
      </c>
      <c r="E45" s="4" t="s">
        <v>19</v>
      </c>
      <c r="F45" s="4" t="s">
        <v>20</v>
      </c>
      <c r="G45" s="4" t="s">
        <v>21</v>
      </c>
      <c r="H45" s="4" t="s">
        <v>21</v>
      </c>
      <c r="I45" s="4" t="s">
        <v>20</v>
      </c>
      <c r="J45" s="4" t="s">
        <v>21</v>
      </c>
      <c r="K45" s="4" t="s">
        <v>21</v>
      </c>
      <c r="L45" s="4" t="s">
        <v>22</v>
      </c>
      <c r="M45" s="4" t="s">
        <v>21</v>
      </c>
      <c r="N45" s="4" t="s">
        <v>20</v>
      </c>
      <c r="O45" s="4" t="s">
        <v>21</v>
      </c>
      <c r="P45" s="4" t="s">
        <v>20</v>
      </c>
      <c r="Q45" s="4" t="s">
        <v>21</v>
      </c>
      <c r="R45" s="4" t="s">
        <v>20</v>
      </c>
      <c r="S45" s="4" t="s">
        <v>21</v>
      </c>
    </row>
    <row r="46" spans="1:19" x14ac:dyDescent="0.35">
      <c r="A46" s="4" t="s">
        <v>64</v>
      </c>
      <c r="B46" s="7">
        <v>27833</v>
      </c>
      <c r="C46" s="4">
        <f t="shared" ca="1" si="0"/>
        <v>49</v>
      </c>
      <c r="D46" s="4" t="str" cm="1">
        <f t="array" aca="1" ref="D46" ca="1">_xlfn.IFS(C46&lt;30, "18–29", C46&lt;40, "30–39", C46&lt;50, "40–49", C46&lt;60, "50–59", TRUE, "60+")</f>
        <v>40–49</v>
      </c>
      <c r="E46" s="4" t="s">
        <v>26</v>
      </c>
      <c r="F46" s="4" t="s">
        <v>20</v>
      </c>
      <c r="G46" s="4" t="s">
        <v>20</v>
      </c>
      <c r="H46" s="4" t="s">
        <v>21</v>
      </c>
      <c r="I46" s="4" t="s">
        <v>21</v>
      </c>
      <c r="J46" s="4" t="s">
        <v>20</v>
      </c>
      <c r="K46" s="4" t="s">
        <v>20</v>
      </c>
      <c r="L46" s="4" t="s">
        <v>22</v>
      </c>
      <c r="M46" s="4" t="s">
        <v>20</v>
      </c>
      <c r="N46" s="4" t="s">
        <v>20</v>
      </c>
      <c r="O46" s="4" t="s">
        <v>20</v>
      </c>
      <c r="P46" s="4" t="s">
        <v>21</v>
      </c>
      <c r="Q46" s="4" t="s">
        <v>21</v>
      </c>
      <c r="R46" s="4" t="s">
        <v>20</v>
      </c>
      <c r="S46" s="4" t="s">
        <v>21</v>
      </c>
    </row>
    <row r="47" spans="1:19" x14ac:dyDescent="0.35">
      <c r="A47" s="4" t="s">
        <v>54</v>
      </c>
      <c r="B47" s="7">
        <v>24558</v>
      </c>
      <c r="C47" s="4">
        <f t="shared" ca="1" si="0"/>
        <v>58</v>
      </c>
      <c r="D47" s="4" t="str" cm="1">
        <f t="array" aca="1" ref="D47" ca="1">_xlfn.IFS(C47&lt;30, "18–29", C47&lt;40, "30–39", C47&lt;50, "40–49", C47&lt;60, "50–59", TRUE, "60+")</f>
        <v>50–59</v>
      </c>
      <c r="E47" s="4" t="s">
        <v>19</v>
      </c>
      <c r="F47" s="4" t="s">
        <v>21</v>
      </c>
      <c r="G47" s="4" t="s">
        <v>20</v>
      </c>
      <c r="H47" s="4" t="s">
        <v>21</v>
      </c>
      <c r="I47" s="4" t="s">
        <v>20</v>
      </c>
      <c r="J47" s="4" t="s">
        <v>21</v>
      </c>
      <c r="K47" s="4" t="s">
        <v>20</v>
      </c>
      <c r="L47" s="4" t="s">
        <v>22</v>
      </c>
      <c r="M47" s="4" t="s">
        <v>21</v>
      </c>
      <c r="N47" s="4" t="s">
        <v>21</v>
      </c>
      <c r="O47" s="4" t="s">
        <v>21</v>
      </c>
      <c r="P47" s="4" t="s">
        <v>21</v>
      </c>
      <c r="Q47" s="4" t="s">
        <v>20</v>
      </c>
      <c r="R47" s="4" t="s">
        <v>21</v>
      </c>
      <c r="S47" s="4" t="s">
        <v>21</v>
      </c>
    </row>
    <row r="48" spans="1:19" x14ac:dyDescent="0.35">
      <c r="A48" s="4" t="s">
        <v>65</v>
      </c>
      <c r="B48" s="7">
        <v>32882</v>
      </c>
      <c r="C48" s="4">
        <f t="shared" ca="1" si="0"/>
        <v>35</v>
      </c>
      <c r="D48" s="4" t="str" cm="1">
        <f t="array" aca="1" ref="D48" ca="1">_xlfn.IFS(C48&lt;30, "18–29", C48&lt;40, "30–39", C48&lt;50, "40–49", C48&lt;60, "50–59", TRUE, "60+")</f>
        <v>30–39</v>
      </c>
      <c r="E48" s="4" t="s">
        <v>26</v>
      </c>
      <c r="F48" s="4" t="s">
        <v>21</v>
      </c>
      <c r="G48" s="4" t="s">
        <v>21</v>
      </c>
      <c r="H48" s="4" t="s">
        <v>21</v>
      </c>
      <c r="I48" s="4" t="s">
        <v>20</v>
      </c>
      <c r="J48" s="4" t="s">
        <v>20</v>
      </c>
      <c r="K48" s="4" t="s">
        <v>21</v>
      </c>
      <c r="L48" s="4" t="s">
        <v>22</v>
      </c>
      <c r="M48" s="4" t="s">
        <v>20</v>
      </c>
      <c r="N48" s="4" t="s">
        <v>21</v>
      </c>
      <c r="O48" s="4" t="s">
        <v>21</v>
      </c>
      <c r="P48" s="4" t="s">
        <v>20</v>
      </c>
      <c r="Q48" s="4" t="s">
        <v>21</v>
      </c>
      <c r="R48" s="4" t="s">
        <v>20</v>
      </c>
      <c r="S48" s="4" t="s">
        <v>20</v>
      </c>
    </row>
    <row r="49" spans="1:19" x14ac:dyDescent="0.35">
      <c r="A49" s="4" t="s">
        <v>66</v>
      </c>
      <c r="B49" s="7">
        <v>34395</v>
      </c>
      <c r="C49" s="4">
        <f t="shared" ca="1" si="0"/>
        <v>31</v>
      </c>
      <c r="D49" s="4" t="str" cm="1">
        <f t="array" aca="1" ref="D49" ca="1">_xlfn.IFS(C49&lt;30, "18–29", C49&lt;40, "30–39", C49&lt;50, "40–49", C49&lt;60, "50–59", TRUE, "60+")</f>
        <v>30–39</v>
      </c>
      <c r="E49" s="4" t="s">
        <v>26</v>
      </c>
      <c r="F49" s="4" t="s">
        <v>21</v>
      </c>
      <c r="G49" s="4" t="s">
        <v>21</v>
      </c>
      <c r="H49" s="4" t="s">
        <v>21</v>
      </c>
      <c r="I49" s="4" t="s">
        <v>21</v>
      </c>
      <c r="J49" s="4" t="s">
        <v>21</v>
      </c>
      <c r="K49" s="4" t="s">
        <v>20</v>
      </c>
      <c r="L49" s="4" t="s">
        <v>22</v>
      </c>
      <c r="M49" s="4" t="s">
        <v>21</v>
      </c>
      <c r="N49" s="4" t="s">
        <v>20</v>
      </c>
      <c r="O49" s="4" t="s">
        <v>21</v>
      </c>
      <c r="P49" s="4" t="s">
        <v>21</v>
      </c>
      <c r="Q49" s="4" t="s">
        <v>21</v>
      </c>
      <c r="R49" s="4" t="s">
        <v>20</v>
      </c>
      <c r="S49" s="4" t="s">
        <v>20</v>
      </c>
    </row>
    <row r="50" spans="1:19" x14ac:dyDescent="0.35">
      <c r="A50" s="4" t="s">
        <v>67</v>
      </c>
      <c r="B50" s="7">
        <v>29339</v>
      </c>
      <c r="C50" s="4">
        <f t="shared" ca="1" si="0"/>
        <v>45</v>
      </c>
      <c r="D50" s="4" t="str" cm="1">
        <f t="array" aca="1" ref="D50" ca="1">_xlfn.IFS(C50&lt;30, "18–29", C50&lt;40, "30–39", C50&lt;50, "40–49", C50&lt;60, "50–59", TRUE, "60+")</f>
        <v>40–49</v>
      </c>
      <c r="E50" s="4" t="s">
        <v>19</v>
      </c>
      <c r="F50" s="4" t="s">
        <v>20</v>
      </c>
      <c r="G50" s="4" t="s">
        <v>21</v>
      </c>
      <c r="H50" s="4" t="s">
        <v>20</v>
      </c>
      <c r="I50" s="4" t="s">
        <v>20</v>
      </c>
      <c r="J50" s="4" t="s">
        <v>21</v>
      </c>
      <c r="K50" s="4" t="s">
        <v>20</v>
      </c>
      <c r="L50" s="4" t="s">
        <v>22</v>
      </c>
      <c r="M50" s="4" t="s">
        <v>20</v>
      </c>
      <c r="N50" s="4" t="s">
        <v>21</v>
      </c>
      <c r="O50" s="4" t="s">
        <v>20</v>
      </c>
      <c r="P50" s="4" t="s">
        <v>21</v>
      </c>
      <c r="Q50" s="4" t="s">
        <v>20</v>
      </c>
      <c r="R50" s="4" t="s">
        <v>20</v>
      </c>
      <c r="S50" s="4" t="s">
        <v>20</v>
      </c>
    </row>
    <row r="51" spans="1:19" x14ac:dyDescent="0.35">
      <c r="A51" s="4" t="s">
        <v>68</v>
      </c>
      <c r="B51" s="7">
        <v>36823</v>
      </c>
      <c r="C51" s="4">
        <f t="shared" ca="1" si="0"/>
        <v>24</v>
      </c>
      <c r="D51" s="4" t="str" cm="1">
        <f t="array" aca="1" ref="D51" ca="1">_xlfn.IFS(C51&lt;30, "18–29", C51&lt;40, "30–39", C51&lt;50, "40–49", C51&lt;60, "50–59", TRUE, "60+")</f>
        <v>18–29</v>
      </c>
      <c r="E51" s="4" t="s">
        <v>19</v>
      </c>
      <c r="F51" s="4" t="s">
        <v>21</v>
      </c>
      <c r="G51" s="4" t="s">
        <v>20</v>
      </c>
      <c r="H51" s="4" t="s">
        <v>20</v>
      </c>
      <c r="I51" s="4" t="s">
        <v>21</v>
      </c>
      <c r="J51" s="4" t="s">
        <v>21</v>
      </c>
      <c r="K51" s="4" t="s">
        <v>20</v>
      </c>
      <c r="L51" s="4" t="s">
        <v>22</v>
      </c>
      <c r="M51" s="4" t="s">
        <v>21</v>
      </c>
      <c r="N51" s="4" t="s">
        <v>21</v>
      </c>
      <c r="O51" s="4" t="s">
        <v>21</v>
      </c>
      <c r="P51" s="4" t="s">
        <v>20</v>
      </c>
      <c r="Q51" s="4" t="s">
        <v>20</v>
      </c>
      <c r="R51" s="4" t="s">
        <v>21</v>
      </c>
      <c r="S51" s="4"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748B5-305A-4D2B-8BEE-3A841E536112}">
  <dimension ref="A1:D9"/>
  <sheetViews>
    <sheetView topLeftCell="A3" workbookViewId="0">
      <selection activeCell="O14" sqref="O14"/>
    </sheetView>
  </sheetViews>
  <sheetFormatPr defaultRowHeight="14.5" x14ac:dyDescent="0.35"/>
  <cols>
    <col min="1" max="1" width="29" bestFit="1" customWidth="1"/>
    <col min="2" max="2" width="15.6328125" bestFit="1" customWidth="1"/>
    <col min="3" max="3" width="4.81640625" bestFit="1" customWidth="1"/>
    <col min="4" max="4" width="10.36328125" bestFit="1" customWidth="1"/>
    <col min="5" max="5" width="15.81640625" bestFit="1" customWidth="1"/>
    <col min="6" max="6" width="33.6328125" bestFit="1" customWidth="1"/>
    <col min="7" max="7" width="20.36328125" bestFit="1" customWidth="1"/>
  </cols>
  <sheetData>
    <row r="1" spans="1:4" x14ac:dyDescent="0.35">
      <c r="A1" s="5" t="s">
        <v>15</v>
      </c>
      <c r="B1" t="s">
        <v>20</v>
      </c>
    </row>
    <row r="3" spans="1:4" x14ac:dyDescent="0.35">
      <c r="A3" s="5" t="s">
        <v>86</v>
      </c>
      <c r="B3" s="5" t="s">
        <v>72</v>
      </c>
    </row>
    <row r="4" spans="1:4" x14ac:dyDescent="0.35">
      <c r="A4" s="5" t="s">
        <v>69</v>
      </c>
      <c r="B4" t="s">
        <v>19</v>
      </c>
      <c r="C4" t="s">
        <v>26</v>
      </c>
      <c r="D4" t="s">
        <v>70</v>
      </c>
    </row>
    <row r="5" spans="1:4" x14ac:dyDescent="0.35">
      <c r="A5" s="6" t="s">
        <v>74</v>
      </c>
      <c r="B5">
        <v>2</v>
      </c>
      <c r="C5">
        <v>1</v>
      </c>
      <c r="D5">
        <v>3</v>
      </c>
    </row>
    <row r="6" spans="1:4" x14ac:dyDescent="0.35">
      <c r="A6" s="6" t="s">
        <v>75</v>
      </c>
      <c r="B6">
        <v>4</v>
      </c>
      <c r="C6">
        <v>3</v>
      </c>
      <c r="D6">
        <v>7</v>
      </c>
    </row>
    <row r="7" spans="1:4" x14ac:dyDescent="0.35">
      <c r="A7" s="6" t="s">
        <v>76</v>
      </c>
      <c r="B7">
        <v>2</v>
      </c>
      <c r="C7">
        <v>1</v>
      </c>
      <c r="D7">
        <v>3</v>
      </c>
    </row>
    <row r="8" spans="1:4" x14ac:dyDescent="0.35">
      <c r="A8" s="6" t="s">
        <v>78</v>
      </c>
      <c r="B8">
        <v>6</v>
      </c>
      <c r="C8">
        <v>4</v>
      </c>
      <c r="D8">
        <v>10</v>
      </c>
    </row>
    <row r="9" spans="1:4" x14ac:dyDescent="0.35">
      <c r="A9" s="6" t="s">
        <v>70</v>
      </c>
      <c r="B9">
        <v>14</v>
      </c>
      <c r="C9">
        <v>9</v>
      </c>
      <c r="D9">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ACC5E-8372-4808-9CBB-2DEABF308BDF}">
  <dimension ref="A1:B7"/>
  <sheetViews>
    <sheetView workbookViewId="0">
      <selection activeCell="M13" sqref="M13"/>
    </sheetView>
  </sheetViews>
  <sheetFormatPr defaultRowHeight="14.5" x14ac:dyDescent="0.35"/>
  <cols>
    <col min="1" max="1" width="25.26953125" style="2" bestFit="1" customWidth="1"/>
    <col min="2" max="2" width="7.81640625" style="2" bestFit="1" customWidth="1"/>
    <col min="3" max="16384" width="8.7265625" style="2"/>
  </cols>
  <sheetData>
    <row r="1" spans="1:2" s="1" customFormat="1" x14ac:dyDescent="0.35">
      <c r="A1" s="1" t="s">
        <v>79</v>
      </c>
      <c r="B1" s="1" t="s">
        <v>85</v>
      </c>
    </row>
    <row r="2" spans="1:2" x14ac:dyDescent="0.35">
      <c r="A2" s="2" t="s">
        <v>80</v>
      </c>
      <c r="B2" s="2">
        <f>COUNTIF('Patient Data'!F2:F51, "Yes")</f>
        <v>26</v>
      </c>
    </row>
    <row r="3" spans="1:2" x14ac:dyDescent="0.35">
      <c r="A3" s="2" t="s">
        <v>81</v>
      </c>
      <c r="B3" s="2">
        <f>COUNTIF('Patient Data'!G2:G51, "Yes")</f>
        <v>20</v>
      </c>
    </row>
    <row r="4" spans="1:2" x14ac:dyDescent="0.35">
      <c r="A4" s="2" t="s">
        <v>82</v>
      </c>
      <c r="B4" s="2">
        <f>COUNTIF('Patient Data'!H2:H51, "Yes")</f>
        <v>25</v>
      </c>
    </row>
    <row r="5" spans="1:2" x14ac:dyDescent="0.35">
      <c r="A5" s="2" t="s">
        <v>83</v>
      </c>
      <c r="B5" s="2">
        <f>COUNTIF('Patient Data'!I2:I51, "Yes")</f>
        <v>31</v>
      </c>
    </row>
    <row r="6" spans="1:2" x14ac:dyDescent="0.35">
      <c r="A6" s="2" t="s">
        <v>84</v>
      </c>
      <c r="B6" s="2">
        <f>COUNTIF('Patient Data'!J2:J51, "Yes")</f>
        <v>20</v>
      </c>
    </row>
    <row r="7" spans="1:2" x14ac:dyDescent="0.35">
      <c r="A7" s="2" t="s">
        <v>16</v>
      </c>
      <c r="B7" s="2">
        <f>COUNTIF('Patient Data'!K2:K51, "Yes")</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A89D6-EB16-412F-82E8-C051A6FA3C42}">
  <dimension ref="A3:D10"/>
  <sheetViews>
    <sheetView workbookViewId="0">
      <selection activeCell="J20" sqref="J20"/>
    </sheetView>
  </sheetViews>
  <sheetFormatPr defaultRowHeight="14.5" x14ac:dyDescent="0.35"/>
  <cols>
    <col min="1" max="1" width="20.6328125" bestFit="1" customWidth="1"/>
    <col min="2" max="2" width="15.6328125" bestFit="1" customWidth="1"/>
    <col min="3" max="3" width="3.81640625" bestFit="1" customWidth="1"/>
    <col min="4" max="4" width="10.36328125" bestFit="1" customWidth="1"/>
  </cols>
  <sheetData>
    <row r="3" spans="1:4" x14ac:dyDescent="0.35">
      <c r="A3" s="5" t="s">
        <v>71</v>
      </c>
      <c r="B3" s="5" t="s">
        <v>72</v>
      </c>
    </row>
    <row r="4" spans="1:4" x14ac:dyDescent="0.35">
      <c r="A4" s="5" t="s">
        <v>69</v>
      </c>
      <c r="B4" t="s">
        <v>21</v>
      </c>
      <c r="C4" t="s">
        <v>20</v>
      </c>
      <c r="D4" t="s">
        <v>70</v>
      </c>
    </row>
    <row r="5" spans="1:4" x14ac:dyDescent="0.35">
      <c r="A5" s="6" t="s">
        <v>74</v>
      </c>
      <c r="B5">
        <v>5</v>
      </c>
      <c r="C5">
        <v>3</v>
      </c>
      <c r="D5">
        <v>8</v>
      </c>
    </row>
    <row r="6" spans="1:4" x14ac:dyDescent="0.35">
      <c r="A6" s="6" t="s">
        <v>75</v>
      </c>
      <c r="B6">
        <v>3</v>
      </c>
      <c r="C6">
        <v>7</v>
      </c>
      <c r="D6">
        <v>10</v>
      </c>
    </row>
    <row r="7" spans="1:4" x14ac:dyDescent="0.35">
      <c r="A7" s="6" t="s">
        <v>76</v>
      </c>
      <c r="B7">
        <v>4</v>
      </c>
      <c r="C7">
        <v>3</v>
      </c>
      <c r="D7">
        <v>7</v>
      </c>
    </row>
    <row r="8" spans="1:4" x14ac:dyDescent="0.35">
      <c r="A8" s="6" t="s">
        <v>77</v>
      </c>
      <c r="B8">
        <v>4</v>
      </c>
      <c r="D8">
        <v>4</v>
      </c>
    </row>
    <row r="9" spans="1:4" x14ac:dyDescent="0.35">
      <c r="A9" s="6" t="s">
        <v>78</v>
      </c>
      <c r="B9">
        <v>11</v>
      </c>
      <c r="C9">
        <v>10</v>
      </c>
      <c r="D9">
        <v>21</v>
      </c>
    </row>
    <row r="10" spans="1:4" x14ac:dyDescent="0.35">
      <c r="A10" s="6" t="s">
        <v>70</v>
      </c>
      <c r="B10">
        <v>27</v>
      </c>
      <c r="C10">
        <v>23</v>
      </c>
      <c r="D10">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32399-6653-4895-9A16-C8077DB3AD66}">
  <dimension ref="A3:B6"/>
  <sheetViews>
    <sheetView workbookViewId="0">
      <selection activeCell="L15" sqref="L15"/>
    </sheetView>
  </sheetViews>
  <sheetFormatPr defaultRowHeight="14.5" x14ac:dyDescent="0.35"/>
  <cols>
    <col min="1" max="1" width="12.453125" bestFit="1" customWidth="1"/>
    <col min="2" max="2" width="20.6328125" bestFit="1" customWidth="1"/>
  </cols>
  <sheetData>
    <row r="3" spans="1:2" x14ac:dyDescent="0.35">
      <c r="A3" s="5" t="s">
        <v>69</v>
      </c>
      <c r="B3" t="s">
        <v>71</v>
      </c>
    </row>
    <row r="4" spans="1:2" x14ac:dyDescent="0.35">
      <c r="A4" s="6" t="s">
        <v>19</v>
      </c>
      <c r="B4">
        <v>27</v>
      </c>
    </row>
    <row r="5" spans="1:2" x14ac:dyDescent="0.35">
      <c r="A5" s="6" t="s">
        <v>26</v>
      </c>
      <c r="B5">
        <v>23</v>
      </c>
    </row>
    <row r="6" spans="1:2" x14ac:dyDescent="0.35">
      <c r="A6" s="6" t="s">
        <v>70</v>
      </c>
      <c r="B6">
        <v>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E6D6-00A8-4D7E-9155-F30785AFD422}">
  <dimension ref="A3:B9"/>
  <sheetViews>
    <sheetView workbookViewId="0">
      <selection activeCell="M17" sqref="M17"/>
    </sheetView>
  </sheetViews>
  <sheetFormatPr defaultRowHeight="14.5" x14ac:dyDescent="0.35"/>
  <cols>
    <col min="1" max="1" width="12.453125" bestFit="1" customWidth="1"/>
    <col min="2" max="2" width="20.6328125" bestFit="1" customWidth="1"/>
  </cols>
  <sheetData>
    <row r="3" spans="1:2" x14ac:dyDescent="0.35">
      <c r="A3" s="5" t="s">
        <v>69</v>
      </c>
      <c r="B3" t="s">
        <v>71</v>
      </c>
    </row>
    <row r="4" spans="1:2" x14ac:dyDescent="0.35">
      <c r="A4" s="6" t="s">
        <v>74</v>
      </c>
      <c r="B4">
        <v>8</v>
      </c>
    </row>
    <row r="5" spans="1:2" x14ac:dyDescent="0.35">
      <c r="A5" s="6" t="s">
        <v>75</v>
      </c>
      <c r="B5">
        <v>10</v>
      </c>
    </row>
    <row r="6" spans="1:2" x14ac:dyDescent="0.35">
      <c r="A6" s="6" t="s">
        <v>76</v>
      </c>
      <c r="B6">
        <v>7</v>
      </c>
    </row>
    <row r="7" spans="1:2" x14ac:dyDescent="0.35">
      <c r="A7" s="6" t="s">
        <v>77</v>
      </c>
      <c r="B7">
        <v>4</v>
      </c>
    </row>
    <row r="8" spans="1:2" x14ac:dyDescent="0.35">
      <c r="A8" s="6" t="s">
        <v>78</v>
      </c>
      <c r="B8">
        <v>21</v>
      </c>
    </row>
    <row r="9" spans="1:2" x14ac:dyDescent="0.35">
      <c r="A9" s="6" t="s">
        <v>70</v>
      </c>
      <c r="B9">
        <v>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7F8D-4CEF-4581-ADE4-E385349C3D41}">
  <dimension ref="A3:D7"/>
  <sheetViews>
    <sheetView topLeftCell="A2" workbookViewId="0">
      <selection activeCell="M15" sqref="M15"/>
    </sheetView>
  </sheetViews>
  <sheetFormatPr defaultRowHeight="14.5" x14ac:dyDescent="0.35"/>
  <cols>
    <col min="1" max="1" width="20.6328125" bestFit="1" customWidth="1"/>
    <col min="2" max="2" width="15.6328125" bestFit="1" customWidth="1"/>
    <col min="3" max="3" width="3.81640625" bestFit="1" customWidth="1"/>
    <col min="4" max="4" width="10.36328125" bestFit="1" customWidth="1"/>
  </cols>
  <sheetData>
    <row r="3" spans="1:4" x14ac:dyDescent="0.35">
      <c r="A3" s="5" t="s">
        <v>71</v>
      </c>
      <c r="B3" s="5" t="s">
        <v>72</v>
      </c>
    </row>
    <row r="4" spans="1:4" x14ac:dyDescent="0.35">
      <c r="A4" s="5" t="s">
        <v>69</v>
      </c>
      <c r="B4" t="s">
        <v>21</v>
      </c>
      <c r="C4" t="s">
        <v>20</v>
      </c>
      <c r="D4" t="s">
        <v>70</v>
      </c>
    </row>
    <row r="5" spans="1:4" x14ac:dyDescent="0.35">
      <c r="A5" s="6" t="s">
        <v>21</v>
      </c>
      <c r="B5">
        <v>13</v>
      </c>
      <c r="C5">
        <v>8</v>
      </c>
      <c r="D5">
        <v>21</v>
      </c>
    </row>
    <row r="6" spans="1:4" x14ac:dyDescent="0.35">
      <c r="A6" s="6" t="s">
        <v>20</v>
      </c>
      <c r="B6">
        <v>14</v>
      </c>
      <c r="C6">
        <v>15</v>
      </c>
      <c r="D6">
        <v>29</v>
      </c>
    </row>
    <row r="7" spans="1:4" x14ac:dyDescent="0.35">
      <c r="A7" s="6" t="s">
        <v>70</v>
      </c>
      <c r="B7">
        <v>27</v>
      </c>
      <c r="C7">
        <v>23</v>
      </c>
      <c r="D7">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3C3AFC-2EC9-462D-956C-450C31F445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Patient Data</vt:lpstr>
      <vt:lpstr>Follow-Up Appointments by Gende</vt:lpstr>
      <vt:lpstr>COUNTIF</vt:lpstr>
      <vt:lpstr>Follow-Up vs. Age Group</vt:lpstr>
      <vt:lpstr>Gender Distribution</vt:lpstr>
      <vt:lpstr>Age Group</vt:lpstr>
      <vt:lpstr>Follow Up vs. Treatment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2025-06-12T19:50:03Z</dcterms:created>
  <dcterms:modified xsi:type="dcterms:W3CDTF">2025-07-31T21:48:37Z</dcterms:modified>
</cp:coreProperties>
</file>