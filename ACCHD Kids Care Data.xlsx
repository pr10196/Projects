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8C773EF7-6E23-4996-A51A-53E9D0E011BF}" xr6:coauthVersionLast="47" xr6:coauthVersionMax="47" xr10:uidLastSave="{00000000-0000-0000-0000-000000000000}"/>
  <bookViews>
    <workbookView xWindow="-110" yWindow="-110" windowWidth="19420" windowHeight="10300" activeTab="2" xr2:uid="{00000000-000D-0000-FFFF-FFFF00000000}"/>
  </bookViews>
  <sheets>
    <sheet name="Dashboard" sheetId="2" r:id="rId1"/>
    <sheet name="KidsCare" sheetId="7" state="hidden" r:id="rId2"/>
    <sheet name="Kid's Care Data" sheetId="1" r:id="rId3"/>
    <sheet name="COUNTIF Data Sheet" sheetId="13" r:id="rId4"/>
    <sheet name="Trends In Form Completion" sheetId="19" r:id="rId5"/>
    <sheet name="Referral Completion Overview" sheetId="18" r:id="rId6"/>
    <sheet name="Immunization Status" sheetId="17" r:id="rId7"/>
    <sheet name="Response Distribution Per Form" sheetId="15" r:id="rId8"/>
    <sheet name="Form Completion Summary" sheetId="14" r:id="rId9"/>
    <sheet name="Immunization Status Distributio" sheetId="8" r:id="rId10"/>
  </sheets>
  <definedNames>
    <definedName name="ExternalData_1" localSheetId="1" hidden="1">KidsCare!$A$1:$E$205</definedName>
    <definedName name="Slicer_Form_Nam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3" l="1"/>
  <c r="D12" i="13"/>
  <c r="D11" i="13"/>
  <c r="D10" i="13"/>
  <c r="D9" i="13"/>
  <c r="D8" i="13"/>
  <c r="D7" i="13"/>
  <c r="D6" i="13"/>
  <c r="D5" i="13"/>
  <c r="D4" i="13"/>
  <c r="D3" i="13"/>
  <c r="D2" i="13"/>
  <c r="B2" i="13"/>
  <c r="C13" i="13"/>
  <c r="C12" i="13"/>
  <c r="C11" i="13"/>
  <c r="C10" i="13"/>
  <c r="C9" i="13"/>
  <c r="C8" i="13"/>
  <c r="C7" i="13"/>
  <c r="C6" i="13"/>
  <c r="C5" i="13"/>
  <c r="C4" i="13"/>
  <c r="C3" i="13"/>
  <c r="C2" i="13"/>
  <c r="B13" i="13"/>
  <c r="B12" i="13"/>
  <c r="B11" i="13"/>
  <c r="B10" i="13"/>
  <c r="B9" i="13"/>
  <c r="B8" i="13"/>
  <c r="B7" i="13"/>
  <c r="B6" i="13"/>
  <c r="B5" i="13"/>
  <c r="B4" i="13"/>
  <c r="B3" i="13"/>
  <c r="C3" i="1"/>
  <c r="C4" i="1"/>
  <c r="C5" i="1"/>
  <c r="C6" i="1"/>
  <c r="C7" i="1"/>
  <c r="C8" i="1"/>
  <c r="C9" i="1"/>
  <c r="C10" i="1"/>
  <c r="C11" i="1"/>
  <c r="C12" i="1"/>
  <c r="C13" i="1"/>
  <c r="C14" i="1"/>
  <c r="C15" i="1"/>
  <c r="C16" i="1"/>
  <c r="C17" i="1"/>
  <c r="C18"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E8BF8-B77C-414A-B4B1-66CB4C86F17F}" keepAlive="1" name="Query - KidsCare" description="Connection to the 'KidsCare' query in the workbook." type="5" refreshedVersion="8" background="1" saveData="1">
    <dbPr connection="Provider=Microsoft.Mashup.OleDb.1;Data Source=$Workbook$;Location=KidsCare;Extended Properties=&quot;&quot;" command="SELECT * FROM [KidsCare]"/>
  </connection>
</connections>
</file>

<file path=xl/sharedStrings.xml><?xml version="1.0" encoding="utf-8"?>
<sst xmlns="http://schemas.openxmlformats.org/spreadsheetml/2006/main" count="938" uniqueCount="45">
  <si>
    <t xml:space="preserve">Patient Initial </t>
  </si>
  <si>
    <t>Date of Birth</t>
  </si>
  <si>
    <t>Age</t>
  </si>
  <si>
    <t>Completed Consent</t>
  </si>
  <si>
    <t>Yes</t>
  </si>
  <si>
    <t>No</t>
  </si>
  <si>
    <t>N/A</t>
  </si>
  <si>
    <t>L.X.</t>
  </si>
  <si>
    <t>J.J.</t>
  </si>
  <si>
    <t>M.G.</t>
  </si>
  <si>
    <t>T.N.</t>
  </si>
  <si>
    <t>A.S.</t>
  </si>
  <si>
    <t>L.P.</t>
  </si>
  <si>
    <t>G.X.</t>
  </si>
  <si>
    <t>B.V.</t>
  </si>
  <si>
    <t>Q.K.</t>
  </si>
  <si>
    <t>E.O.</t>
  </si>
  <si>
    <t>Q.J.</t>
  </si>
  <si>
    <t>T.R.</t>
  </si>
  <si>
    <t>H.P.</t>
  </si>
  <si>
    <t>Z.W.</t>
  </si>
  <si>
    <t>M.Z.</t>
  </si>
  <si>
    <t>B.M.</t>
  </si>
  <si>
    <t xml:space="preserve">Completed Health History </t>
  </si>
  <si>
    <t xml:space="preserve">Family Medical History Completed </t>
  </si>
  <si>
    <t xml:space="preserve">Physical Assessment Completed </t>
  </si>
  <si>
    <t xml:space="preserve">Updated Immunizations </t>
  </si>
  <si>
    <t xml:space="preserve">Completed Allergies </t>
  </si>
  <si>
    <t xml:space="preserve">Violence Assessment Completed </t>
  </si>
  <si>
    <t xml:space="preserve">Risky Sensual Behaviors </t>
  </si>
  <si>
    <t>Mental Health Screening Completed</t>
  </si>
  <si>
    <t xml:space="preserve">Labs Completed </t>
  </si>
  <si>
    <t>Education Provided</t>
  </si>
  <si>
    <t>Referrals Completed</t>
  </si>
  <si>
    <t>Row Labels</t>
  </si>
  <si>
    <t>Grand Total</t>
  </si>
  <si>
    <t xml:space="preserve">Count of Updated Immunizations </t>
  </si>
  <si>
    <t>Value</t>
  </si>
  <si>
    <t>Attribute</t>
  </si>
  <si>
    <t>Form Name</t>
  </si>
  <si>
    <t>Yes Count</t>
  </si>
  <si>
    <t>No Count</t>
  </si>
  <si>
    <t>N/A Count</t>
  </si>
  <si>
    <t>Sum of Yes Count</t>
  </si>
  <si>
    <t xml:space="preserve">Yes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</si>
</sst>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theme="9"/>
      </left>
      <right style="thin">
        <color theme="9"/>
      </right>
      <top style="thin">
        <color theme="9"/>
      </top>
      <bottom style="medium">
        <color theme="9"/>
      </bottom>
      <diagonal/>
    </border>
  </borders>
  <cellStyleXfs count="1">
    <xf numFmtId="0" fontId="0" fillId="0" borderId="0"/>
  </cellStyleXfs>
  <cellXfs count="12">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xf>
    <xf numFmtId="14" fontId="0" fillId="0" borderId="0" xfId="0" applyNumberFormat="1" applyAlignment="1">
      <alignment horizont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22" fontId="0" fillId="0" borderId="0" xfId="0" applyNumberFormat="1"/>
    <xf numFmtId="14" fontId="0" fillId="0" borderId="0" xfId="0" applyNumberFormat="1" applyAlignment="1">
      <alignment horizontal="center" vertical="center" wrapText="1"/>
    </xf>
    <xf numFmtId="0" fontId="0" fillId="0" borderId="1" xfId="0" applyBorder="1" applyAlignment="1">
      <alignment horizontal="center"/>
    </xf>
    <xf numFmtId="0" fontId="0" fillId="0" borderId="1" xfId="0" applyBorder="1" applyAlignment="1">
      <alignment horizontal="center" wrapText="1"/>
    </xf>
  </cellXfs>
  <cellStyles count="1">
    <cellStyle name="Normal" xfId="0" builtinId="0"/>
  </cellStyles>
  <dxfs count="2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style="thin">
          <color theme="9"/>
        </left>
        <right style="thin">
          <color theme="9"/>
        </right>
        <top style="thin">
          <color theme="9"/>
        </top>
        <bottom style="medium">
          <color theme="9"/>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numFmt numFmtId="0" formatCode="General"/>
    </dxf>
    <dxf>
      <numFmt numFmtId="0" formatCode="General"/>
    </dxf>
    <dxf>
      <numFmt numFmtId="27" formatCode="m/d/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9.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Kids Care Data.xlsx]Trends In Form Completion!PivotTable14</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Trends In Form Completion</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'Trends In Form Completion'!$B$3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1BC-4970-A6EA-4B28E7640811}"/>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1BC-4970-A6EA-4B28E7640811}"/>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1BC-4970-A6EA-4B28E7640811}"/>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1BC-4970-A6EA-4B28E7640811}"/>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1BC-4970-A6EA-4B28E7640811}"/>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BC-4970-A6EA-4B28E7640811}"/>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1BC-4970-A6EA-4B28E7640811}"/>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BC-4970-A6EA-4B28E7640811}"/>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1BC-4970-A6EA-4B28E7640811}"/>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BC-4970-A6EA-4B28E7640811}"/>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1BC-4970-A6EA-4B28E764081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'Trends In Form Completion'!$A$4:$A$16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'Trends In Form Completion'!$B$4:$B$16</c:f>
              <c:numCache>
                <c:formatCode>General</c:formatCode>
                <c:ptCount val="12"/>
                <c:pt idx="0">
                  <c:v>16</c:v>
                </c:pt>
                <c:pt idx="1">
                  <c:v>17</c:v>
                </c:pt>
                <c:pt idx="2">
                  <c:v>17</c:v>
                </c:pt>
                <c:pt idx="3">
                  <c:v>17</c:v>
                </c:pt>
                <c:pt idx="4">
                  <c:v>17</c:v>
                </c:pt>
                <c:pt idx="5">
                  <c:v>14</c:v>
                </c:pt>
                <c:pt idx="6">
                  <c:v>17</c:v>
                </c:pt>
                <c:pt idx="7">
                  <c:v>17</c:v>
                </c:pt>
                <c:pt idx="8">
                  <c:v>3</c:v>
                </c:pt>
                <c:pt idx="9">
                  <c:v>0</c:v>
                </c:pt>
                <c:pt idx="10">
                  <c:v>14</c:v>
                </c:pt>
                <c:pt idx="11">
                  <c:v>17</c:v>
                </c:pt>
              </c:numCache>
            </c:numRef>
          </c:val>
          <c:extLst>
            <c:ext xmlns:c16="http://schemas.microsoft.com/office/drawing/2014/chart" uri="{C3380CC4-5D6E-409C-BE32-E72D297353CC}">
              <c16:uniqueId val="{00000000-5CCA-4538-A419-E1B6D3D52484}"/>
            </c:ext>
          </c:extLst>
        </c:ser>
        <c:dLbls>
          <c:showLegendKey val="0"/>
          <c:showVal val="0"/>
          <c:showCatName val="0"/>
          <c:showSerName val="0"/>
          <c:showPercent val="0"/>
          <c:showBubbleSize val="0"/>
        </c:dLbls>
        <c:gapWidth val="115"/>
        <c:overlap val="-20"/>
        <c:axId val="1444845567"/>
        <c:axId val="1444869087"/>
      </c:barChart>
      <c:catAx>
        <c:axId val="1444845567"/>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 REsponse Type</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4869087"/>
        <c:crosses val="autoZero"/>
        <c:auto val="1"/>
        <c:lblAlgn val="ctr"/>
        <c:lblOffset val="100"/>
        <c:noMultiLvlLbl val="0"/>
      </c:catAx>
      <c:valAx>
        <c:axId val="1444869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Number of Patients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48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Kids Care Data.xlsx]Referral Completion Overview!PivotTable13</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Referral Completion Overview</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'Referral Completion Overview'!$B$3</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'Referral Completion Overview'!$A$4:$A$16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'Referral Completion Overview'!$B$4:$B$16</c:f>
              <c:numCache>
                <c:formatCode>General</c:formatCode>
                <c:ptCount val="12"/>
                <c:pt idx="0">
                  <c:v>16</c:v>
                </c:pt>
                <c:pt idx="1">
                  <c:v>17</c:v>
                </c:pt>
                <c:pt idx="2">
                  <c:v>17</c:v>
                </c:pt>
                <c:pt idx="3">
                  <c:v>17</c:v>
                </c:pt>
                <c:pt idx="4">
                  <c:v>17</c:v>
                </c:pt>
                <c:pt idx="5">
                  <c:v>14</c:v>
                </c:pt>
                <c:pt idx="6">
                  <c:v>17</c:v>
                </c:pt>
                <c:pt idx="7">
                  <c:v>17</c:v>
                </c:pt>
                <c:pt idx="8">
                  <c:v>3</c:v>
                </c:pt>
                <c:pt idx="9">
                  <c:v>0</c:v>
                </c:pt>
                <c:pt idx="10">
                  <c:v>14</c:v>
                </c:pt>
                <c:pt idx="11">
                  <c:v>17</c:v>
                </c:pt>
              </c:numCache>
            </c:numRef>
          </c:val>
          <c:extLst>
            <c:ext xmlns:c16="http://schemas.microsoft.com/office/drawing/2014/chart" uri="{C3380CC4-5D6E-409C-BE32-E72D297353CC}">
              <c16:uniqueId val="{00000000-92F2-4316-BBBD-C31CD800E415}"/>
            </c:ext>
          </c:extLst>
        </c:ser>
        <c:ser>
          <c:idx val="1"/>
          <c:order val="1"/>
          <c:tx>
            <c:strRef>
              <c:f>'Referral Completion Overview'!$C$3</c:f>
              <c:strCache>
                <c:ptCount val="1"/>
                <c:pt idx="0">
                  <c:v>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'Referral Completion Overview'!$A$4:$A$16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'Referral Completion Overview'!$C$4:$C$16</c:f>
              <c:numCache>
                <c:formatCode>General</c:formatCode>
                <c:ptCount val="12"/>
                <c:pt idx="0">
                  <c:v>0</c:v>
                </c:pt>
                <c:pt idx="1">
                  <c:v>0</c:v>
                </c:pt>
                <c:pt idx="2">
                  <c:v>0</c:v>
                </c:pt>
                <c:pt idx="3">
                  <c:v>0</c:v>
                </c:pt>
                <c:pt idx="4">
                  <c:v>0</c:v>
                </c:pt>
                <c:pt idx="5">
                  <c:v>3</c:v>
                </c:pt>
                <c:pt idx="6">
                  <c:v>0</c:v>
                </c:pt>
                <c:pt idx="7">
                  <c:v>0</c:v>
                </c:pt>
                <c:pt idx="8">
                  <c:v>12</c:v>
                </c:pt>
                <c:pt idx="9">
                  <c:v>8</c:v>
                </c:pt>
                <c:pt idx="10">
                  <c:v>0</c:v>
                </c:pt>
                <c:pt idx="11">
                  <c:v>0</c:v>
                </c:pt>
              </c:numCache>
            </c:numRef>
          </c:val>
          <c:extLst>
            <c:ext xmlns:c16="http://schemas.microsoft.com/office/drawing/2014/chart" uri="{C3380CC4-5D6E-409C-BE32-E72D297353CC}">
              <c16:uniqueId val="{00000001-92F2-4316-BBBD-C31CD800E415}"/>
            </c:ext>
          </c:extLst>
        </c:ser>
        <c:ser>
          <c:idx val="2"/>
          <c:order val="2"/>
          <c:tx>
            <c:strRef>
              <c:f>'Referral Completion Overview'!$D$3</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'Referral Completion Overview'!$A$4:$A$16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'Referral Completion Overview'!$D$4:$D$16</c:f>
              <c:numCache>
                <c:formatCode>General</c:formatCode>
                <c:ptCount val="12"/>
                <c:pt idx="0">
                  <c:v>1</c:v>
                </c:pt>
                <c:pt idx="1">
                  <c:v>0</c:v>
                </c:pt>
                <c:pt idx="2">
                  <c:v>0</c:v>
                </c:pt>
                <c:pt idx="3">
                  <c:v>0</c:v>
                </c:pt>
                <c:pt idx="4">
                  <c:v>0</c:v>
                </c:pt>
                <c:pt idx="5">
                  <c:v>0</c:v>
                </c:pt>
                <c:pt idx="6">
                  <c:v>0</c:v>
                </c:pt>
                <c:pt idx="7">
                  <c:v>0</c:v>
                </c:pt>
                <c:pt idx="8">
                  <c:v>2</c:v>
                </c:pt>
                <c:pt idx="9">
                  <c:v>9</c:v>
                </c:pt>
                <c:pt idx="10">
                  <c:v>3</c:v>
                </c:pt>
                <c:pt idx="11">
                  <c:v>0</c:v>
                </c:pt>
              </c:numCache>
            </c:numRef>
          </c:val>
          <c:extLst>
            <c:ext xmlns:c16="http://schemas.microsoft.com/office/drawing/2014/chart" uri="{C3380CC4-5D6E-409C-BE32-E72D297353CC}">
              <c16:uniqueId val="{00000002-92F2-4316-BBBD-C31CD800E415}"/>
            </c:ext>
          </c:extLst>
        </c:ser>
        <c:dLbls>
          <c:showLegendKey val="0"/>
          <c:showVal val="0"/>
          <c:showCatName val="0"/>
          <c:showSerName val="0"/>
          <c:showPercent val="0"/>
          <c:showBubbleSize val="0"/>
        </c:dLbls>
        <c:gapWidth val="150"/>
        <c:overlap val="100"/>
        <c:axId val="1444860447"/>
        <c:axId val="1444873407"/>
      </c:barChart>
      <c:catAx>
        <c:axId val="14448604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4873407"/>
        <c:crosses val="autoZero"/>
        <c:auto val="1"/>
        <c:lblAlgn val="ctr"/>
        <c:lblOffset val="100"/>
        <c:noMultiLvlLbl val="0"/>
      </c:catAx>
      <c:valAx>
        <c:axId val="144487340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486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Kids Care Data.xlsx]Response Distribution Per Form!PivotTable7</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Response Distribution Per Form</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'Response Distribution Per Form'!$B$3</c:f>
              <c:strCache>
                <c:ptCount val="1"/>
                <c:pt idx="0">
                  <c:v>Yes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'Response Distribution Per Form'!$A$4:$A$16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'Response Distribution Per Form'!$B$4:$B$16</c:f>
              <c:numCache>
                <c:formatCode>General</c:formatCode>
                <c:ptCount val="12"/>
                <c:pt idx="0">
                  <c:v>16</c:v>
                </c:pt>
                <c:pt idx="1">
                  <c:v>17</c:v>
                </c:pt>
                <c:pt idx="2">
                  <c:v>17</c:v>
                </c:pt>
                <c:pt idx="3">
                  <c:v>17</c:v>
                </c:pt>
                <c:pt idx="4">
                  <c:v>17</c:v>
                </c:pt>
                <c:pt idx="5">
                  <c:v>14</c:v>
                </c:pt>
                <c:pt idx="6">
                  <c:v>17</c:v>
                </c:pt>
                <c:pt idx="7">
                  <c:v>17</c:v>
                </c:pt>
                <c:pt idx="8">
                  <c:v>3</c:v>
                </c:pt>
                <c:pt idx="9">
                  <c:v>0</c:v>
                </c:pt>
                <c:pt idx="10">
                  <c:v>14</c:v>
                </c:pt>
                <c:pt idx="11">
                  <c:v>17</c:v>
                </c:pt>
              </c:numCache>
            </c:numRef>
          </c:val>
          <c:extLst>
            <c:ext xmlns:c16="http://schemas.microsoft.com/office/drawing/2014/chart" uri="{C3380CC4-5D6E-409C-BE32-E72D297353CC}">
              <c16:uniqueId val="{00000000-72EB-4E18-8E06-63CC1B07ADEE}"/>
            </c:ext>
          </c:extLst>
        </c:ser>
        <c:ser>
          <c:idx val="1"/>
          <c:order val="1"/>
          <c:tx>
            <c:strRef>
              <c:f>'Response Distribution Per Form'!$C$3</c:f>
              <c:strCache>
                <c:ptCount val="1"/>
                <c:pt idx="0">
                  <c:v>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'Response Distribution Per Form'!$A$4:$A$16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'Response Distribution Per Form'!$C$4:$C$16</c:f>
              <c:numCache>
                <c:formatCode>General</c:formatCode>
                <c:ptCount val="12"/>
                <c:pt idx="0">
                  <c:v>0</c:v>
                </c:pt>
                <c:pt idx="1">
                  <c:v>0</c:v>
                </c:pt>
                <c:pt idx="2">
                  <c:v>0</c:v>
                </c:pt>
                <c:pt idx="3">
                  <c:v>0</c:v>
                </c:pt>
                <c:pt idx="4">
                  <c:v>0</c:v>
                </c:pt>
                <c:pt idx="5">
                  <c:v>3</c:v>
                </c:pt>
                <c:pt idx="6">
                  <c:v>0</c:v>
                </c:pt>
                <c:pt idx="7">
                  <c:v>0</c:v>
                </c:pt>
                <c:pt idx="8">
                  <c:v>12</c:v>
                </c:pt>
                <c:pt idx="9">
                  <c:v>8</c:v>
                </c:pt>
                <c:pt idx="10">
                  <c:v>0</c:v>
                </c:pt>
                <c:pt idx="11">
                  <c:v>0</c:v>
                </c:pt>
              </c:numCache>
            </c:numRef>
          </c:val>
          <c:extLst>
            <c:ext xmlns:c16="http://schemas.microsoft.com/office/drawing/2014/chart" uri="{C3380CC4-5D6E-409C-BE32-E72D297353CC}">
              <c16:uniqueId val="{00000001-72EB-4E18-8E06-63CC1B07ADEE}"/>
            </c:ext>
          </c:extLst>
        </c:ser>
        <c:ser>
          <c:idx val="2"/>
          <c:order val="2"/>
          <c:tx>
            <c:strRef>
              <c:f>'Response Distribution Per Form'!$D$3</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'Response Distribution Per Form'!$A$4:$A$16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'Response Distribution Per Form'!$D$4:$D$16</c:f>
              <c:numCache>
                <c:formatCode>General</c:formatCode>
                <c:ptCount val="12"/>
                <c:pt idx="0">
                  <c:v>1</c:v>
                </c:pt>
                <c:pt idx="1">
                  <c:v>0</c:v>
                </c:pt>
                <c:pt idx="2">
                  <c:v>0</c:v>
                </c:pt>
                <c:pt idx="3">
                  <c:v>0</c:v>
                </c:pt>
                <c:pt idx="4">
                  <c:v>0</c:v>
                </c:pt>
                <c:pt idx="5">
                  <c:v>0</c:v>
                </c:pt>
                <c:pt idx="6">
                  <c:v>0</c:v>
                </c:pt>
                <c:pt idx="7">
                  <c:v>0</c:v>
                </c:pt>
                <c:pt idx="8">
                  <c:v>2</c:v>
                </c:pt>
                <c:pt idx="9">
                  <c:v>9</c:v>
                </c:pt>
                <c:pt idx="10">
                  <c:v>3</c:v>
                </c:pt>
                <c:pt idx="11">
                  <c:v>0</c:v>
                </c:pt>
              </c:numCache>
            </c:numRef>
          </c:val>
          <c:extLst>
            <c:ext xmlns:c16="http://schemas.microsoft.com/office/drawing/2014/chart" uri="{C3380CC4-5D6E-409C-BE32-E72D297353CC}">
              <c16:uniqueId val="{00000002-72EB-4E18-8E06-63CC1B07ADEE}"/>
            </c:ext>
          </c:extLst>
        </c:ser>
        <c:dLbls>
          <c:showLegendKey val="0"/>
          <c:showVal val="0"/>
          <c:showCatName val="0"/>
          <c:showSerName val="0"/>
          <c:showPercent val="0"/>
          <c:showBubbleSize val="0"/>
        </c:dLbls>
        <c:gapWidth val="150"/>
        <c:overlap val="100"/>
        <c:axId val="1444854687"/>
        <c:axId val="1444855167"/>
      </c:barChart>
      <c:catAx>
        <c:axId val="1444854687"/>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Form Type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4855167"/>
        <c:crosses val="autoZero"/>
        <c:auto val="1"/>
        <c:lblAlgn val="ctr"/>
        <c:lblOffset val="100"/>
        <c:noMultiLvlLbl val="0"/>
      </c:catAx>
      <c:valAx>
        <c:axId val="144485516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Response Percentage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485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Kids Care Data.xlsx]Form Completion Summary!PivotTable6</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Form Completion Summary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'Form Completion Summary'!$B$3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'Form Completion Summary'!$A$4:$A$16</c:f>
              <c:strCache>
                <c:ptCount val="12"/>
                <c:pt idx="0">
                  <c:v>Completed Allergies </c:v>
                </c:pt>
                <c:pt idx="1">
                  <c:v>Completed Consent</c:v>
                </c:pt>
                <c:pt idx="2">
                  <c:v>Completed Health History </c:v>
                </c:pt>
                <c:pt idx="3">
                  <c:v>Education Provided</c:v>
                </c:pt>
                <c:pt idx="4">
                  <c:v>Family Medical History Completed </c:v>
                </c:pt>
                <c:pt idx="5">
                  <c:v>Labs Completed </c:v>
                </c:pt>
                <c:pt idx="6">
                  <c:v>Mental Health Screening Completed</c:v>
                </c:pt>
                <c:pt idx="7">
                  <c:v>Physical Assessment Completed </c:v>
                </c:pt>
                <c:pt idx="8">
                  <c:v>Referrals Completed</c:v>
                </c:pt>
                <c:pt idx="9">
                  <c:v>Risky Sensual Behaviors </c:v>
                </c:pt>
                <c:pt idx="10">
                  <c:v>Updated Immunizations </c:v>
                </c:pt>
                <c:pt idx="11">
                  <c:v>Violence Assessment Completed </c:v>
                </c:pt>
              </c:strCache>
            </c:strRef>
          </c:cat>
          <c:val>
            <c:numRef>
              <c:f>'Form Completion Summary'!$B$4:$B$16</c:f>
              <c:numCache>
                <c:formatCode>General</c:formatCode>
                <c:ptCount val="12"/>
                <c:pt idx="0">
                  <c:v>16</c:v>
                </c:pt>
                <c:pt idx="1">
                  <c:v>17</c:v>
                </c:pt>
                <c:pt idx="2">
                  <c:v>17</c:v>
                </c:pt>
                <c:pt idx="3">
                  <c:v>17</c:v>
                </c:pt>
                <c:pt idx="4">
                  <c:v>17</c:v>
                </c:pt>
                <c:pt idx="5">
                  <c:v>14</c:v>
                </c:pt>
                <c:pt idx="6">
                  <c:v>17</c:v>
                </c:pt>
                <c:pt idx="7">
                  <c:v>17</c:v>
                </c:pt>
                <c:pt idx="8">
                  <c:v>3</c:v>
                </c:pt>
                <c:pt idx="9">
                  <c:v>0</c:v>
                </c:pt>
                <c:pt idx="10">
                  <c:v>14</c:v>
                </c:pt>
                <c:pt idx="11">
                  <c:v>17</c:v>
                </c:pt>
              </c:numCache>
            </c:numRef>
          </c:val>
          <c:extLst>
            <c:ext xmlns:c16="http://schemas.microsoft.com/office/drawing/2014/chart" uri="{C3380CC4-5D6E-409C-BE32-E72D297353CC}">
              <c16:uniqueId val="{00000000-2EE5-43AF-AC98-3D2AC8ABF9F9}"/>
            </c:ext>
          </c:extLst>
        </c:ser>
        <c:dLbls>
          <c:showLegendKey val="0"/>
          <c:showVal val="0"/>
          <c:showCatName val="0"/>
          <c:showSerName val="0"/>
          <c:showPercent val="0"/>
          <c:showBubbleSize val="0"/>
        </c:dLbls>
        <c:gapWidth val="115"/>
        <c:overlap val="-20"/>
        <c:axId val="1444837887"/>
        <c:axId val="1444834047"/>
      </c:barChart>
      <c:catAx>
        <c:axId val="1444837887"/>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Form 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4834047"/>
        <c:crosses val="autoZero"/>
        <c:auto val="1"/>
        <c:lblAlgn val="ctr"/>
        <c:lblOffset val="100"/>
        <c:noMultiLvlLbl val="0"/>
      </c:catAx>
      <c:valAx>
        <c:axId val="144483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Number of Patients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483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Kids Care Data.xlsx]Immunization Status Distributio!PivotTable1</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Immunization Status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1.9444444444444445E-2"/>
              <c:y val="7.870370370370370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3.3333333333333333E-2"/>
              <c:y val="-6.018518518518518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3.3333333333333333E-2"/>
              <c:y val="-6.018518518518518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1.9444444444444445E-2"/>
              <c:y val="7.870370370370370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333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44444444444445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'Immunization Status Distributio'!$B$3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709-4DC4-8BBD-0F477A030CF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709-4DC4-8BBD-0F477A030CF0}"/>
              </c:ext>
            </c:extLst>
          </c:dPt>
          <c:dLbls>
            <c:dLbl>
              <c:idx val="0"/>
              <c:layout>
                <c:manualLayout>
                  <c:x val="3.3333333333333333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09-4DC4-8BBD-0F477A030CF0}"/>
                </c:ext>
              </c:extLst>
            </c:dLbl>
            <c:dLbl>
              <c:idx val="1"/>
              <c:layout>
                <c:manualLayout>
                  <c:x val="-1.9444444444444445E-2"/>
                  <c:y val="7.8703703703703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09-4DC4-8BBD-0F477A030CF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'Immunization Status Distributio'!$A$4:$A$6</c:f>
              <c:strCache>
                <c:ptCount val="2"/>
                <c:pt idx="0">
                  <c:v>No</c:v>
                </c:pt>
                <c:pt idx="1">
                  <c:v>Yes</c:v>
                </c:pt>
              </c:strCache>
            </c:strRef>
          </c:cat>
          <c:val>
            <c:numRef>
              <c:f>'Immunization Status Distributio'!$B$4:$B$6</c:f>
              <c:numCache>
                <c:formatCode>General</c:formatCode>
                <c:ptCount val="2"/>
                <c:pt idx="0">
                  <c:v>3</c:v>
                </c:pt>
                <c:pt idx="1">
                  <c:v>14</c:v>
                </c:pt>
              </c:numCache>
            </c:numRef>
          </c:val>
          <c:extLst>
            <c:ext xmlns:c16="http://schemas.microsoft.com/office/drawing/2014/chart" uri="{C3380CC4-5D6E-409C-BE32-E72D297353CC}">
              <c16:uniqueId val="{00000004-6709-4DC4-8BBD-0F477A030CF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r>
              <a:rPr lang="en-US" sz="2400">
                <a:solidFill>
                  <a:sysClr val="windowText" lastClr="000000"/>
                </a:solidFill>
              </a:rPr>
              <a:t>Immunization Status</a:t>
            </a:r>
          </a:p>
        </c:rich>
      </c:tx>
      <c:layout>
        <c:manualLayout>
          <c:xMode val="edge"/>
          <c:yMode val="edge"/>
          <c:x val="0.32978455818022745"/>
          <c:y val="1.8518518518518517E-2"/>
        </c:manualLayout>
      </c:layout>
      <c:overlay val="0"/>
      <c:spPr>
        <a:noFill/>
        <a:ln>
          <a:noFill/>
        </a:ln>
        <a:effectLst/>
      </c:spPr>
      <c:txPr>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4E3-436F-A794-B5E82F2854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4E3-436F-A794-B5E82F2854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4E3-436F-A794-B5E82F2854D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'COUNTIF Data Sheet'!$B$1:$D$1</c:f>
              <c:strCache>
                <c:ptCount val="3"/>
                <c:pt idx="0">
                  <c:v>Yes Count</c:v>
                </c:pt>
                <c:pt idx="1">
                  <c:v>No Count</c:v>
                </c:pt>
                <c:pt idx="2">
                  <c:v>N/A Count</c:v>
                </c:pt>
              </c:strCache>
            </c:strRef>
          </c:cat>
          <c:val>
            <c:numRef>
              <c:f>'COUNTIF Data Sheet'!$B$6:$D$6</c:f>
              <c:numCache>
                <c:formatCode>General</c:formatCode>
                <c:ptCount val="3"/>
                <c:pt idx="0">
                  <c:v>14</c:v>
                </c:pt>
                <c:pt idx="1">
                  <c:v>3</c:v>
                </c:pt>
                <c:pt idx="2">
                  <c:v>0</c:v>
                </c:pt>
              </c:numCache>
            </c:numRef>
          </c:val>
          <c:extLst>
            <c:ext xmlns:c16="http://schemas.microsoft.com/office/drawing/2014/chart" uri="{C3380CC4-5D6E-409C-BE32-E72D297353CC}">
              <c16:uniqueId val="{00000006-44E3-436F-A794-B5E82F2854D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DC08935-D057-4E2F-9E5C-96378CFE7F56}">
  <sheetPr/>
  <sheetViews>
    <sheetView zoomScale="5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85810</xdr:colOff>
      <xdr:row>0</xdr:row>
      <xdr:rowOff>0</xdr:rowOff>
    </xdr:from>
    <xdr:to>
      <xdr:col>10</xdr:col>
      <xdr:colOff>545069</xdr:colOff>
      <xdr:row>18</xdr:row>
      <xdr:rowOff>60067</xdr:rowOff>
    </xdr:to>
    <xdr:graphicFrame macro="">
      <xdr:nvGraphicFramePr>
        <xdr:cNvPr id="2" name="Chart 1">
          <a:extLst>
            <a:ext uri="{FF2B5EF4-FFF2-40B4-BE49-F238E27FC236}">
              <a16:creationId xmlns:a16="http://schemas.microsoft.com/office/drawing/2014/main" id="{F0EE009A-FD03-43DA-9917-DE8D36666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549188</xdr:colOff>
      <xdr:row>0</xdr:row>
      <xdr:rowOff>0</xdr:rowOff>
    </xdr:from>
    <xdr:to>
      <xdr:col>17</xdr:col>
      <xdr:colOff>125833</xdr:colOff>
      <xdr:row>18</xdr:row>
      <xdr:rowOff>60067</xdr:rowOff>
    </xdr:to>
    <xdr:graphicFrame macro="">
      <xdr:nvGraphicFramePr>
        <xdr:cNvPr id="3" name="Chart 2">
          <a:extLst>
            <a:ext uri="{FF2B5EF4-FFF2-40B4-BE49-F238E27FC236}">
              <a16:creationId xmlns:a16="http://schemas.microsoft.com/office/drawing/2014/main" id="{0FC5E350-711C-4D7D-A924-56AAC71D9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85812</xdr:colOff>
      <xdr:row>18</xdr:row>
      <xdr:rowOff>62125</xdr:rowOff>
    </xdr:from>
    <xdr:to>
      <xdr:col>13</xdr:col>
      <xdr:colOff>134621</xdr:colOff>
      <xdr:row>37</xdr:row>
      <xdr:rowOff>94390</xdr:rowOff>
    </xdr:to>
    <xdr:graphicFrame macro="">
      <xdr:nvGraphicFramePr>
        <xdr:cNvPr id="4" name="Chart 3">
          <a:extLst>
            <a:ext uri="{FF2B5EF4-FFF2-40B4-BE49-F238E27FC236}">
              <a16:creationId xmlns:a16="http://schemas.microsoft.com/office/drawing/2014/main" id="{9D7B4736-9646-4845-AD41-39A87FB6A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133864</xdr:colOff>
      <xdr:row>18</xdr:row>
      <xdr:rowOff>68647</xdr:rowOff>
    </xdr:from>
    <xdr:to>
      <xdr:col>22</xdr:col>
      <xdr:colOff>182673</xdr:colOff>
      <xdr:row>37</xdr:row>
      <xdr:rowOff>60067</xdr:rowOff>
    </xdr:to>
    <xdr:graphicFrame macro="">
      <xdr:nvGraphicFramePr>
        <xdr:cNvPr id="5" name="Chart 4">
          <a:extLst>
            <a:ext uri="{FF2B5EF4-FFF2-40B4-BE49-F238E27FC236}">
              <a16:creationId xmlns:a16="http://schemas.microsoft.com/office/drawing/2014/main" id="{2759BFD7-D62C-4814-878D-A8E772D51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128372</xdr:colOff>
      <xdr:row>0</xdr:row>
      <xdr:rowOff>1</xdr:rowOff>
    </xdr:from>
    <xdr:to>
      <xdr:col>22</xdr:col>
      <xdr:colOff>189332</xdr:colOff>
      <xdr:row>18</xdr:row>
      <xdr:rowOff>68648</xdr:rowOff>
    </xdr:to>
    <xdr:graphicFrame macro="">
      <xdr:nvGraphicFramePr>
        <xdr:cNvPr id="6" name="Chart 5">
          <a:extLst>
            <a:ext uri="{FF2B5EF4-FFF2-40B4-BE49-F238E27FC236}">
              <a16:creationId xmlns:a16="http://schemas.microsoft.com/office/drawing/2014/main" id="{17042148-4FBC-4705-80C6-86B3AF2C3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7</xdr:row>
      <xdr:rowOff>138499</xdr:rowOff>
    </xdr:from>
    <xdr:to>
      <xdr:col>3</xdr:col>
      <xdr:colOff>534772</xdr:colOff>
      <xdr:row>27</xdr:row>
      <xdr:rowOff>94393</xdr:rowOff>
    </xdr:to>
    <mc:AlternateContent xmlns:mc="http://schemas.openxmlformats.org/markup-compatibility/2006" xmlns:a14="http://schemas.microsoft.com/office/drawing/2010/main">
      <mc:Choice Requires="a14">
        <xdr:graphicFrame macro="">
          <xdr:nvGraphicFramePr>
            <xdr:cNvPr id="7" name="Form Name">
              <a:extLst>
                <a:ext uri="{FF2B5EF4-FFF2-40B4-BE49-F238E27FC236}">
                  <a16:creationId xmlns:a16="http://schemas.microsoft.com/office/drawing/2014/main" id="{DEA518E7-6039-2449-8202-F0D4FFB1B111}"/>
                </a:ext>
              </a:extLst>
            </xdr:cNvPr>
            <xdr:cNvGraphicFramePr/>
          </xdr:nvGraphicFramePr>
          <xdr:xfrm>
            <a:off x="0" y="0"/>
            <a:ext cx="0" cy="0"/>
          </xdr:xfrm>
          <a:graphic>
            <a:graphicData uri="http://schemas.microsoft.com/office/drawing/2010/slicer">
              <sle:slicer xmlns:sle="http://schemas.microsoft.com/office/drawing/2010/slicer" name="Form Name"/>
            </a:graphicData>
          </a:graphic>
        </xdr:graphicFrame>
      </mc:Choice>
      <mc:Fallback xmlns="">
        <xdr:sp macro="" textlink="">
          <xdr:nvSpPr>
            <xdr:cNvPr id="0" name=""/>
            <xdr:cNvSpPr>
              <a:spLocks noTextEdit="1"/>
            </xdr:cNvSpPr>
          </xdr:nvSpPr>
          <xdr:spPr>
            <a:xfrm>
              <a:off x="0" y="1399918"/>
              <a:ext cx="2362542" cy="3559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8670636" cy="6292273"/>
    <xdr:graphicFrame macro="">
      <xdr:nvGraphicFramePr>
        <xdr:cNvPr id="2" name="Chart 1">
          <a:extLst>
            <a:ext uri="{FF2B5EF4-FFF2-40B4-BE49-F238E27FC236}">
              <a16:creationId xmlns:a16="http://schemas.microsoft.com/office/drawing/2014/main" id="{CC9F7D5A-9377-C8A5-FFD5-D50DEA41CA8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2.393823148152" createdVersion="8" refreshedVersion="8" minRefreshableVersion="3" recordCount="17" xr:uid="{4E101B1E-1BA3-42A6-B50B-4F24C9C29D90}">
  <cacheSource type="worksheet">
    <worksheetSource name="KidsCare"/>
  </cacheSource>
  <cacheFields count="15">
    <cacheField name="Patient Initial " numFmtId="0">
      <sharedItems/>
    </cacheField>
    <cacheField name="Date of Birth" numFmtId="14">
      <sharedItems containsSemiMixedTypes="0" containsNonDate="0" containsDate="1" containsString="0" minDate="2006-10-14T00:00:00" maxDate="2017-01-27T00:00:00"/>
    </cacheField>
    <cacheField name="Age" numFmtId="0">
      <sharedItems containsSemiMixedTypes="0" containsString="0" containsNumber="1" containsInteger="1" minValue="8" maxValue="18"/>
    </cacheField>
    <cacheField name="Completed Consent" numFmtId="0">
      <sharedItems count="1">
        <s v="Yes"/>
      </sharedItems>
    </cacheField>
    <cacheField name="Completed Health History " numFmtId="0">
      <sharedItems count="1">
        <s v="Yes"/>
      </sharedItems>
    </cacheField>
    <cacheField name="Family Medical History Completed " numFmtId="0">
      <sharedItems count="1">
        <s v="Yes"/>
      </sharedItems>
    </cacheField>
    <cacheField name="Physical Assessment Completed " numFmtId="0">
      <sharedItems/>
    </cacheField>
    <cacheField name="Updated Immunizations " numFmtId="0">
      <sharedItems count="2">
        <s v="No"/>
        <s v="Yes"/>
      </sharedItems>
    </cacheField>
    <cacheField name="Completed Allergies " numFmtId="0">
      <sharedItems/>
    </cacheField>
    <cacheField name="Violence Assessment Completed " numFmtId="0">
      <sharedItems/>
    </cacheField>
    <cacheField name="Risky Sensual Behaviors " numFmtId="0">
      <sharedItems count="2">
        <s v="No"/>
        <s v="N/A"/>
      </sharedItems>
    </cacheField>
    <cacheField name="Mental Health Screening Completed" numFmtId="0">
      <sharedItems/>
    </cacheField>
    <cacheField name="Labs Completed " numFmtId="0">
      <sharedItems/>
    </cacheField>
    <cacheField name="Education Provided" numFmtId="0">
      <sharedItems/>
    </cacheField>
    <cacheField name="Referrals Completed" numFmtId="0">
      <sharedItems count="3">
        <s v="Yes"/>
        <s v="N/A"/>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2.645985763891" createdVersion="8" refreshedVersion="8" minRefreshableVersion="3" recordCount="12" xr:uid="{B735F4E2-5BBD-438E-BCA0-FDB8F08463EE}">
  <cacheSource type="worksheet">
    <worksheetSource name="COUNTIF"/>
  </cacheSource>
  <cacheFields count="4">
    <cacheField name="Form Name" numFmtId="0">
      <sharedItems count="12">
        <s v="Completed Consent"/>
        <s v="Completed Health History "/>
        <s v="Family Medical History Completed "/>
        <s v="Physical Assessment Completed "/>
        <s v="Updated Immunizations "/>
        <s v="Completed Allergies "/>
        <s v="Violence Assessment Completed "/>
        <s v="Risky Sensual Behaviors "/>
        <s v="Mental Health Screening Completed"/>
        <s v="Labs Completed "/>
        <s v="Education Provided"/>
        <s v="Referrals Completed"/>
      </sharedItems>
    </cacheField>
    <cacheField name="Yes Count" numFmtId="0">
      <sharedItems containsSemiMixedTypes="0" containsString="0" containsNumber="1" containsInteger="1" minValue="0" maxValue="17" count="5">
        <n v="17"/>
        <n v="14"/>
        <n v="16"/>
        <n v="0"/>
        <n v="3"/>
      </sharedItems>
    </cacheField>
    <cacheField name="No Count" numFmtId="0">
      <sharedItems containsSemiMixedTypes="0" containsString="0" containsNumber="1" containsInteger="1" minValue="0" maxValue="9"/>
    </cacheField>
    <cacheField name="N/A Count" numFmtId="0">
      <sharedItems containsSemiMixedTypes="0" containsString="0" containsNumber="1" containsInteger="1" minValue="0" maxValue="12"/>
    </cacheField>
  </cacheFields>
  <extLst>
    <ext xmlns:x14="http://schemas.microsoft.com/office/spreadsheetml/2009/9/main" uri="{725AE2AE-9491-48be-B2B4-4EB974FC3084}">
      <x14:pivotCacheDefinition pivotCacheId="1287145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L.X."/>
    <d v="2010-03-18T00:00:00"/>
    <n v="15"/>
    <x v="0"/>
    <x v="0"/>
    <x v="0"/>
    <s v="Yes"/>
    <x v="0"/>
    <s v="Yes"/>
    <s v="Yes"/>
    <x v="0"/>
    <s v="Yes"/>
    <s v="Yes"/>
    <s v="Yes"/>
    <x v="0"/>
  </r>
  <r>
    <s v="J.J."/>
    <d v="2014-11-07T00:00:00"/>
    <n v="10"/>
    <x v="0"/>
    <x v="0"/>
    <x v="0"/>
    <s v="Yes"/>
    <x v="0"/>
    <s v="Yes"/>
    <s v="Yes"/>
    <x v="1"/>
    <s v="Yes"/>
    <s v="N/A"/>
    <s v="Yes"/>
    <x v="1"/>
  </r>
  <r>
    <s v="M.G."/>
    <d v="2008-06-25T00:00:00"/>
    <n v="17"/>
    <x v="0"/>
    <x v="0"/>
    <x v="0"/>
    <s v="Yes"/>
    <x v="1"/>
    <s v="Yes"/>
    <s v="Yes"/>
    <x v="1"/>
    <s v="Yes"/>
    <s v="Yes"/>
    <s v="Yes"/>
    <x v="1"/>
  </r>
  <r>
    <s v="T.N."/>
    <d v="2013-01-12T00:00:00"/>
    <n v="12"/>
    <x v="0"/>
    <x v="0"/>
    <x v="0"/>
    <s v="Yes"/>
    <x v="1"/>
    <s v="No"/>
    <s v="Yes"/>
    <x v="0"/>
    <s v="Yes"/>
    <s v="Yes"/>
    <s v="Yes"/>
    <x v="1"/>
  </r>
  <r>
    <s v="A.S."/>
    <d v="2007-09-30T00:00:00"/>
    <n v="17"/>
    <x v="0"/>
    <x v="0"/>
    <x v="0"/>
    <s v="Yes"/>
    <x v="1"/>
    <s v="Yes"/>
    <s v="Yes"/>
    <x v="1"/>
    <s v="Yes"/>
    <s v="Yes"/>
    <s v="Yes"/>
    <x v="1"/>
  </r>
  <r>
    <s v="L.P."/>
    <d v="2015-04-03T00:00:00"/>
    <n v="10"/>
    <x v="0"/>
    <x v="0"/>
    <x v="0"/>
    <s v="Yes"/>
    <x v="1"/>
    <s v="Yes"/>
    <s v="Yes"/>
    <x v="0"/>
    <s v="Yes"/>
    <s v="Yes"/>
    <s v="Yes"/>
    <x v="1"/>
  </r>
  <r>
    <s v="G.X."/>
    <d v="2009-12-16T00:00:00"/>
    <n v="15"/>
    <x v="0"/>
    <x v="0"/>
    <x v="0"/>
    <s v="Yes"/>
    <x v="1"/>
    <s v="Yes"/>
    <s v="Yes"/>
    <x v="0"/>
    <s v="Yes"/>
    <s v="Yes"/>
    <s v="Yes"/>
    <x v="1"/>
  </r>
  <r>
    <s v="B.V."/>
    <d v="2011-07-21T00:00:00"/>
    <n v="14"/>
    <x v="0"/>
    <x v="0"/>
    <x v="0"/>
    <s v="Yes"/>
    <x v="1"/>
    <s v="Yes"/>
    <s v="Yes"/>
    <x v="1"/>
    <s v="Yes"/>
    <s v="N/A"/>
    <s v="Yes"/>
    <x v="1"/>
  </r>
  <r>
    <s v="Q.K."/>
    <d v="2012-05-02T00:00:00"/>
    <n v="13"/>
    <x v="0"/>
    <x v="0"/>
    <x v="0"/>
    <s v="Yes"/>
    <x v="1"/>
    <s v="Yes"/>
    <s v="Yes"/>
    <x v="1"/>
    <s v="Yes"/>
    <s v="Yes"/>
    <s v="Yes"/>
    <x v="1"/>
  </r>
  <r>
    <s v="E.O."/>
    <d v="2006-10-14T00:00:00"/>
    <n v="18"/>
    <x v="0"/>
    <x v="0"/>
    <x v="0"/>
    <s v="Yes"/>
    <x v="1"/>
    <s v="Yes"/>
    <s v="Yes"/>
    <x v="1"/>
    <s v="Yes"/>
    <s v="Yes"/>
    <s v="Yes"/>
    <x v="0"/>
  </r>
  <r>
    <s v="Q.J."/>
    <d v="2008-02-27T00:00:00"/>
    <n v="17"/>
    <x v="0"/>
    <x v="0"/>
    <x v="0"/>
    <s v="Yes"/>
    <x v="0"/>
    <s v="Yes"/>
    <s v="Yes"/>
    <x v="0"/>
    <s v="Yes"/>
    <s v="Yes"/>
    <s v="Yes"/>
    <x v="1"/>
  </r>
  <r>
    <s v="T.R."/>
    <d v="2010-08-09T00:00:00"/>
    <n v="14"/>
    <x v="0"/>
    <x v="0"/>
    <x v="0"/>
    <s v="Yes"/>
    <x v="1"/>
    <s v="Yes"/>
    <s v="Yes"/>
    <x v="0"/>
    <s v="Yes"/>
    <s v="Yes"/>
    <s v="Yes"/>
    <x v="1"/>
  </r>
  <r>
    <s v="H.P."/>
    <d v="2017-01-26T00:00:00"/>
    <n v="8"/>
    <x v="0"/>
    <x v="0"/>
    <x v="0"/>
    <s v="Yes"/>
    <x v="1"/>
    <s v="Yes"/>
    <s v="Yes"/>
    <x v="0"/>
    <s v="Yes"/>
    <s v="Yes"/>
    <s v="Yes"/>
    <x v="1"/>
  </r>
  <r>
    <s v="Z.W."/>
    <d v="2012-06-14T00:00:00"/>
    <n v="13"/>
    <x v="0"/>
    <x v="0"/>
    <x v="0"/>
    <s v="Yes"/>
    <x v="1"/>
    <s v="Yes"/>
    <s v="Yes"/>
    <x v="1"/>
    <s v="Yes"/>
    <s v="N/A"/>
    <s v="Yes"/>
    <x v="1"/>
  </r>
  <r>
    <s v="M.Z."/>
    <d v="2009-03-30T00:00:00"/>
    <n v="16"/>
    <x v="0"/>
    <x v="0"/>
    <x v="0"/>
    <s v="Yes"/>
    <x v="1"/>
    <s v="Yes"/>
    <s v="Yes"/>
    <x v="0"/>
    <s v="Yes"/>
    <s v="Yes"/>
    <s v="Yes"/>
    <x v="0"/>
  </r>
  <r>
    <s v="B.M."/>
    <d v="2006-12-01T00:00:00"/>
    <n v="18"/>
    <x v="0"/>
    <x v="0"/>
    <x v="0"/>
    <s v="Yes"/>
    <x v="1"/>
    <s v="Yes"/>
    <s v="Yes"/>
    <x v="0"/>
    <s v="Yes"/>
    <s v="Yes"/>
    <s v="Yes"/>
    <x v="2"/>
  </r>
  <r>
    <s v="M.Z."/>
    <d v="2013-09-05T00:00:00"/>
    <n v="11"/>
    <x v="0"/>
    <x v="0"/>
    <x v="0"/>
    <s v="Yes"/>
    <x v="1"/>
    <s v="Yes"/>
    <s v="Yes"/>
    <x v="1"/>
    <s v="Yes"/>
    <s v="Yes"/>
    <s v="Yes"/>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0"/>
    <n v="0"/>
  </r>
  <r>
    <x v="1"/>
    <x v="0"/>
    <n v="0"/>
    <n v="0"/>
  </r>
  <r>
    <x v="2"/>
    <x v="0"/>
    <n v="0"/>
    <n v="0"/>
  </r>
  <r>
    <x v="3"/>
    <x v="0"/>
    <n v="0"/>
    <n v="0"/>
  </r>
  <r>
    <x v="4"/>
    <x v="1"/>
    <n v="3"/>
    <n v="0"/>
  </r>
  <r>
    <x v="5"/>
    <x v="2"/>
    <n v="1"/>
    <n v="0"/>
  </r>
  <r>
    <x v="6"/>
    <x v="0"/>
    <n v="0"/>
    <n v="0"/>
  </r>
  <r>
    <x v="7"/>
    <x v="3"/>
    <n v="9"/>
    <n v="8"/>
  </r>
  <r>
    <x v="8"/>
    <x v="0"/>
    <n v="0"/>
    <n v="0"/>
  </r>
  <r>
    <x v="9"/>
    <x v="1"/>
    <n v="0"/>
    <n v="3"/>
  </r>
  <r>
    <x v="10"/>
    <x v="0"/>
    <n v="0"/>
    <n v="0"/>
  </r>
  <r>
    <x v="11"/>
    <x v="4"/>
    <n v="2"/>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90A77D-9D5D-46EB-99E6-8F54025BC0F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4">
    <pivotField axis="axisRow" showAll="0">
      <items count="13">
        <item x="5"/>
        <item x="0"/>
        <item x="1"/>
        <item x="10"/>
        <item x="2"/>
        <item x="9"/>
        <item x="8"/>
        <item x="3"/>
        <item x="11"/>
        <item x="7"/>
        <item x="4"/>
        <item x="6"/>
        <item t="default"/>
      </items>
    </pivotField>
    <pivotField dataField="1"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Yes Count" fld="1" baseField="0" baseItem="0"/>
  </dataFields>
  <chartFormats count="1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11"/>
          </reference>
        </references>
      </pivotArea>
    </chartFormat>
    <chartFormat chart="8" format="4">
      <pivotArea type="data" outline="0" fieldPosition="0">
        <references count="2">
          <reference field="4294967294" count="1" selected="0">
            <x v="0"/>
          </reference>
          <reference field="0" count="1" selected="0">
            <x v="10"/>
          </reference>
        </references>
      </pivotArea>
    </chartFormat>
    <chartFormat chart="8" format="5">
      <pivotArea type="data" outline="0" fieldPosition="0">
        <references count="2">
          <reference field="4294967294" count="1" selected="0">
            <x v="0"/>
          </reference>
          <reference field="0" count="1" selected="0">
            <x v="8"/>
          </reference>
        </references>
      </pivotArea>
    </chartFormat>
    <chartFormat chart="8" format="6">
      <pivotArea type="data" outline="0" fieldPosition="0">
        <references count="2">
          <reference field="4294967294" count="1" selected="0">
            <x v="0"/>
          </reference>
          <reference field="0" count="1" selected="0">
            <x v="7"/>
          </reference>
        </references>
      </pivotArea>
    </chartFormat>
    <chartFormat chart="8" format="7">
      <pivotArea type="data" outline="0" fieldPosition="0">
        <references count="2">
          <reference field="4294967294" count="1" selected="0">
            <x v="0"/>
          </reference>
          <reference field="0" count="1" selected="0">
            <x v="6"/>
          </reference>
        </references>
      </pivotArea>
    </chartFormat>
    <chartFormat chart="8" format="8">
      <pivotArea type="data" outline="0" fieldPosition="0">
        <references count="2">
          <reference field="4294967294" count="1" selected="0">
            <x v="0"/>
          </reference>
          <reference field="0" count="1" selected="0">
            <x v="5"/>
          </reference>
        </references>
      </pivotArea>
    </chartFormat>
    <chartFormat chart="8" format="9">
      <pivotArea type="data" outline="0" fieldPosition="0">
        <references count="2">
          <reference field="4294967294" count="1" selected="0">
            <x v="0"/>
          </reference>
          <reference field="0" count="1" selected="0">
            <x v="4"/>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CDB851-A11C-49D4-8117-562F62DD934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6" firstHeaderRow="0" firstDataRow="1" firstDataCol="1"/>
  <pivotFields count="4">
    <pivotField axis="axisRow" showAll="0">
      <items count="13">
        <item x="5"/>
        <item x="0"/>
        <item x="1"/>
        <item x="10"/>
        <item x="2"/>
        <item x="9"/>
        <item x="8"/>
        <item x="3"/>
        <item x="11"/>
        <item x="7"/>
        <item x="4"/>
        <item x="6"/>
        <item t="default"/>
      </items>
    </pivotField>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Yes" fld="1" baseField="0" baseItem="8"/>
    <dataField name="N/A" fld="3" baseField="0" baseItem="8"/>
    <dataField name="No" fld="2" baseField="0" baseItem="8"/>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BB82B-25AA-4C7F-AF32-DFA7868E028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6" firstHeaderRow="0" firstDataRow="1" firstDataCol="1"/>
  <pivotFields count="4">
    <pivotField axis="axisRow" showAll="0">
      <items count="13">
        <item x="5"/>
        <item x="0"/>
        <item x="1"/>
        <item x="10"/>
        <item x="2"/>
        <item x="9"/>
        <item x="8"/>
        <item x="3"/>
        <item x="11"/>
        <item x="7"/>
        <item x="4"/>
        <item x="6"/>
        <item t="default"/>
      </items>
    </pivotField>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Yes " fld="1" baseField="0" baseItem="0"/>
    <dataField name="N/A" fld="3" baseField="0" baseItem="0"/>
    <dataField name="No"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9F001E-8F68-4FF3-8155-644EE418BF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4">
    <pivotField axis="axisRow" showAll="0">
      <items count="13">
        <item x="5"/>
        <item x="0"/>
        <item x="1"/>
        <item x="10"/>
        <item x="2"/>
        <item x="9"/>
        <item x="8"/>
        <item x="3"/>
        <item x="11"/>
        <item x="7"/>
        <item x="4"/>
        <item x="6"/>
        <item t="default"/>
      </items>
    </pivotField>
    <pivotField dataField="1" showAll="0">
      <items count="6">
        <item x="3"/>
        <item x="4"/>
        <item x="1"/>
        <item x="2"/>
        <item x="0"/>
        <item t="default"/>
      </items>
    </pivotField>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Yes Count"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7098D0-3A01-41DC-A61C-1EDFB56EFD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5">
    <pivotField showAll="0"/>
    <pivotField numFmtId="14" showAll="0"/>
    <pivotField showAll="0"/>
    <pivotField showAll="0">
      <items count="2">
        <item x="0"/>
        <item t="default"/>
      </items>
    </pivotField>
    <pivotField showAll="0">
      <items count="2">
        <item x="0"/>
        <item t="default"/>
      </items>
    </pivotField>
    <pivotField showAll="0">
      <items count="2">
        <item x="0"/>
        <item t="default"/>
      </items>
    </pivotField>
    <pivotField showAll="0"/>
    <pivotField axis="axisRow" dataField="1" showAll="0">
      <items count="3">
        <item x="0"/>
        <item x="1"/>
        <item t="default"/>
      </items>
    </pivotField>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Updated Immunizations " fld="7"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7" count="1" selected="0">
            <x v="0"/>
          </reference>
        </references>
      </pivotArea>
    </chartFormat>
    <chartFormat chart="1" format="5">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0D4A45-33F8-4F41-BFDF-8850AE851199}" autoFormatId="16" applyNumberFormats="0" applyBorderFormats="0" applyFontFormats="0" applyPatternFormats="0" applyAlignmentFormats="0" applyWidthHeightFormats="0">
  <queryTableRefresh nextId="6">
    <queryTableFields count="5">
      <queryTableField id="1" name="Patient Initial " tableColumnId="1"/>
      <queryTableField id="2" name="Date of Birth" tableColumnId="2"/>
      <queryTableField id="3" name="Age"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_Name" xr10:uid="{24C316B7-F66F-4014-B111-3103EAFE4325}" sourceName="Form Name">
  <pivotTables>
    <pivotTable tabId="19" name="PivotTable14"/>
    <pivotTable tabId="14" name="PivotTable6"/>
    <pivotTable tabId="18" name="PivotTable13"/>
    <pivotTable tabId="15" name="PivotTable7"/>
  </pivotTables>
  <data>
    <tabular pivotCacheId="1287145082">
      <items count="12">
        <i x="5" s="1"/>
        <i x="0" s="1"/>
        <i x="1" s="1"/>
        <i x="10" s="1"/>
        <i x="2" s="1"/>
        <i x="9" s="1"/>
        <i x="8" s="1"/>
        <i x="3" s="1"/>
        <i x="11" s="1"/>
        <i x="7"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m Name" xr10:uid="{C0E6881D-7123-45C9-A783-1D242CDA4883}" cache="Slicer_Form_Name" caption="Form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395059-63D6-478D-B305-A758096F6684}" name="KidsCare_1" displayName="KidsCare_1" ref="A1:E205" tableType="queryTable" totalsRowShown="0">
  <autoFilter ref="A1:E205" xr:uid="{6A395059-63D6-478D-B305-A758096F6684}"/>
  <tableColumns count="5">
    <tableColumn id="1" xr3:uid="{EA291827-E912-4046-A958-A1039B296843}" uniqueName="1" name="Patient Initial " queryTableFieldId="1" dataDxfId="26"/>
    <tableColumn id="2" xr3:uid="{71E0DF58-7DEB-4B32-8303-61EA0D097786}" uniqueName="2" name="Date of Birth" queryTableFieldId="2" dataDxfId="25"/>
    <tableColumn id="3" xr3:uid="{3C3A22FE-5379-4320-839E-5B6A18CAF4D7}" uniqueName="3" name="Age" queryTableFieldId="3"/>
    <tableColumn id="4" xr3:uid="{F8FD173D-4544-4C02-B085-25DC00FDC5D8}" uniqueName="4" name="Attribute" queryTableFieldId="4" dataDxfId="24"/>
    <tableColumn id="5" xr3:uid="{5F65419F-82BD-4485-925C-5D140D01A955}" uniqueName="5" name="Value" queryTableFieldId="5"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35D845-C722-4270-B3E6-7E7C5DC8FDCA}" name="KidsCare" displayName="KidsCare" ref="A1:O18" totalsRowShown="0" headerRowDxfId="22" dataDxfId="21">
  <autoFilter ref="A1:O18" xr:uid="{1A35D845-C722-4270-B3E6-7E7C5DC8FDCA}"/>
  <tableColumns count="15">
    <tableColumn id="1" xr3:uid="{EF2540F3-2231-4223-A475-E6900A2E52DF}" name="Patient Initial " dataDxfId="20"/>
    <tableColumn id="2" xr3:uid="{EEED6650-1425-4FD3-9C40-667285F9FD73}" name="Date of Birth" dataDxfId="19"/>
    <tableColumn id="3" xr3:uid="{6E988226-7B4C-442B-8FE1-3CC647465B3F}" name="Age" dataDxfId="18">
      <calculatedColumnFormula>DATEDIF(B2, TODAY(), "Y")</calculatedColumnFormula>
    </tableColumn>
    <tableColumn id="4" xr3:uid="{5060A4BB-BDC0-401C-89BC-1380E60406FE}" name="Completed Consent" dataDxfId="17"/>
    <tableColumn id="5" xr3:uid="{93C52C32-21CB-461B-AEA5-08B44DDAFC73}" name="Completed Health History " dataDxfId="16"/>
    <tableColumn id="6" xr3:uid="{C962C503-1A15-4D88-839E-3B7576EAB4DB}" name="Family Medical History Completed " dataDxfId="15"/>
    <tableColumn id="7" xr3:uid="{468231D0-6AAC-43A7-8ADC-12003DF99395}" name="Physical Assessment Completed " dataDxfId="14"/>
    <tableColumn id="8" xr3:uid="{16DFD149-EC04-430A-839C-C22976CE2972}" name="Updated Immunizations " dataDxfId="13"/>
    <tableColumn id="9" xr3:uid="{6932076E-0D0E-4B1C-B8B5-A550D159851B}" name="Completed Allergies " dataDxfId="12"/>
    <tableColumn id="10" xr3:uid="{59A7D07B-7239-4D16-8273-003B11F7AA05}" name="Violence Assessment Completed " dataDxfId="11"/>
    <tableColumn id="11" xr3:uid="{1C3F2872-0CEA-4287-AD91-F7CCB3DBEFF7}" name="Risky Sensual Behaviors " dataDxfId="10"/>
    <tableColumn id="12" xr3:uid="{148EB29E-19D5-4F43-B3A7-0A00772BC2BA}" name="Mental Health Screening Completed" dataDxfId="9"/>
    <tableColumn id="13" xr3:uid="{CA347D8F-15C3-4073-AE19-ACE3646552A1}" name="Labs Completed " dataDxfId="8"/>
    <tableColumn id="14" xr3:uid="{11756F20-4148-4915-9C03-C9F16742E877}" name="Education Provided" dataDxfId="7"/>
    <tableColumn id="15" xr3:uid="{285F4C69-BBC1-45B9-B7CF-AF1AFC0CBF83}" name="Referrals Completed" dataDxfId="6"/>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6425A7-C880-4B02-AFF3-C71DEF6BAC84}" name="COUNTIF" displayName="COUNTIF" ref="A1:D13" totalsRowShown="0" headerRowDxfId="5" dataDxfId="4">
  <autoFilter ref="A1:D13" xr:uid="{FD6425A7-C880-4B02-AFF3-C71DEF6BAC84}"/>
  <tableColumns count="4">
    <tableColumn id="1" xr3:uid="{B261360C-B3D5-4EBB-857B-093DB175805C}" name="Form Name" dataDxfId="3"/>
    <tableColumn id="2" xr3:uid="{BC0CAED7-9D45-4BD1-919E-3EC0A7879781}" name="Yes Count" dataDxfId="2"/>
    <tableColumn id="3" xr3:uid="{ECF904B9-DB41-4298-ABF1-77C7572320A8}" name="No Count" dataDxfId="1"/>
    <tableColumn id="4" xr3:uid="{5A2CF7E9-E5A7-416A-8D56-86DE22CB5129}" name="N/A 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6AD0-8F76-4891-A109-0840545B8C78}">
  <dimension ref="A1"/>
  <sheetViews>
    <sheetView showGridLines="0" topLeftCell="A14" zoomScale="74" workbookViewId="0">
      <selection activeCell="D7" sqref="D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2654-BDDB-4D7D-92B0-53AEC1EAFB83}">
  <dimension ref="A1:E205"/>
  <sheetViews>
    <sheetView topLeftCell="A2" workbookViewId="0">
      <selection activeCell="D9" sqref="D9"/>
    </sheetView>
  </sheetViews>
  <sheetFormatPr defaultRowHeight="14.5" x14ac:dyDescent="0.35"/>
  <cols>
    <col min="1" max="1" width="14.81640625" bestFit="1" customWidth="1"/>
    <col min="2" max="2" width="14.54296875" bestFit="1" customWidth="1"/>
    <col min="3" max="3" width="6.1796875" bestFit="1" customWidth="1"/>
    <col min="4" max="4" width="31.08984375" bestFit="1" customWidth="1"/>
    <col min="5" max="5" width="7.81640625" bestFit="1" customWidth="1"/>
  </cols>
  <sheetData>
    <row r="1" spans="1:5" x14ac:dyDescent="0.35">
      <c r="A1" t="s">
        <v>0</v>
      </c>
      <c r="B1" t="s">
        <v>1</v>
      </c>
      <c r="C1" t="s">
        <v>2</v>
      </c>
      <c r="D1" t="s">
        <v>38</v>
      </c>
      <c r="E1" t="s">
        <v>37</v>
      </c>
    </row>
    <row r="2" spans="1:5" x14ac:dyDescent="0.35">
      <c r="A2" t="s">
        <v>7</v>
      </c>
      <c r="B2" s="8">
        <v>40255</v>
      </c>
      <c r="C2">
        <v>15</v>
      </c>
      <c r="D2" t="s">
        <v>3</v>
      </c>
      <c r="E2" t="s">
        <v>4</v>
      </c>
    </row>
    <row r="3" spans="1:5" x14ac:dyDescent="0.35">
      <c r="A3" t="s">
        <v>7</v>
      </c>
      <c r="B3" s="8">
        <v>40255</v>
      </c>
      <c r="C3">
        <v>15</v>
      </c>
      <c r="D3" t="s">
        <v>23</v>
      </c>
      <c r="E3" t="s">
        <v>4</v>
      </c>
    </row>
    <row r="4" spans="1:5" x14ac:dyDescent="0.35">
      <c r="A4" t="s">
        <v>7</v>
      </c>
      <c r="B4" s="8">
        <v>40255</v>
      </c>
      <c r="C4">
        <v>15</v>
      </c>
      <c r="D4" t="s">
        <v>24</v>
      </c>
      <c r="E4" t="s">
        <v>4</v>
      </c>
    </row>
    <row r="5" spans="1:5" x14ac:dyDescent="0.35">
      <c r="A5" t="s">
        <v>7</v>
      </c>
      <c r="B5" s="8">
        <v>40255</v>
      </c>
      <c r="C5">
        <v>15</v>
      </c>
      <c r="D5" t="s">
        <v>25</v>
      </c>
      <c r="E5" t="s">
        <v>4</v>
      </c>
    </row>
    <row r="6" spans="1:5" x14ac:dyDescent="0.35">
      <c r="A6" t="s">
        <v>7</v>
      </c>
      <c r="B6" s="8">
        <v>40255</v>
      </c>
      <c r="C6">
        <v>15</v>
      </c>
      <c r="D6" t="s">
        <v>26</v>
      </c>
      <c r="E6" t="s">
        <v>5</v>
      </c>
    </row>
    <row r="7" spans="1:5" x14ac:dyDescent="0.35">
      <c r="A7" t="s">
        <v>7</v>
      </c>
      <c r="B7" s="8">
        <v>40255</v>
      </c>
      <c r="C7">
        <v>15</v>
      </c>
      <c r="D7" t="s">
        <v>27</v>
      </c>
      <c r="E7" t="s">
        <v>4</v>
      </c>
    </row>
    <row r="8" spans="1:5" x14ac:dyDescent="0.35">
      <c r="A8" t="s">
        <v>7</v>
      </c>
      <c r="B8" s="8">
        <v>40255</v>
      </c>
      <c r="C8">
        <v>15</v>
      </c>
      <c r="D8" t="s">
        <v>28</v>
      </c>
      <c r="E8" t="s">
        <v>4</v>
      </c>
    </row>
    <row r="9" spans="1:5" x14ac:dyDescent="0.35">
      <c r="A9" t="s">
        <v>7</v>
      </c>
      <c r="B9" s="8">
        <v>40255</v>
      </c>
      <c r="C9">
        <v>15</v>
      </c>
      <c r="D9" t="s">
        <v>29</v>
      </c>
      <c r="E9" t="s">
        <v>5</v>
      </c>
    </row>
    <row r="10" spans="1:5" x14ac:dyDescent="0.35">
      <c r="A10" t="s">
        <v>7</v>
      </c>
      <c r="B10" s="8">
        <v>40255</v>
      </c>
      <c r="C10">
        <v>15</v>
      </c>
      <c r="D10" t="s">
        <v>30</v>
      </c>
      <c r="E10" t="s">
        <v>4</v>
      </c>
    </row>
    <row r="11" spans="1:5" x14ac:dyDescent="0.35">
      <c r="A11" t="s">
        <v>7</v>
      </c>
      <c r="B11" s="8">
        <v>40255</v>
      </c>
      <c r="C11">
        <v>15</v>
      </c>
      <c r="D11" t="s">
        <v>31</v>
      </c>
      <c r="E11" t="s">
        <v>4</v>
      </c>
    </row>
    <row r="12" spans="1:5" x14ac:dyDescent="0.35">
      <c r="A12" t="s">
        <v>7</v>
      </c>
      <c r="B12" s="8">
        <v>40255</v>
      </c>
      <c r="C12">
        <v>15</v>
      </c>
      <c r="D12" t="s">
        <v>32</v>
      </c>
      <c r="E12" t="s">
        <v>4</v>
      </c>
    </row>
    <row r="13" spans="1:5" x14ac:dyDescent="0.35">
      <c r="A13" t="s">
        <v>7</v>
      </c>
      <c r="B13" s="8">
        <v>40255</v>
      </c>
      <c r="C13">
        <v>15</v>
      </c>
      <c r="D13" t="s">
        <v>33</v>
      </c>
      <c r="E13" t="s">
        <v>4</v>
      </c>
    </row>
    <row r="14" spans="1:5" x14ac:dyDescent="0.35">
      <c r="A14" t="s">
        <v>8</v>
      </c>
      <c r="B14" s="8">
        <v>41950</v>
      </c>
      <c r="C14">
        <v>10</v>
      </c>
      <c r="D14" t="s">
        <v>3</v>
      </c>
      <c r="E14" t="s">
        <v>4</v>
      </c>
    </row>
    <row r="15" spans="1:5" x14ac:dyDescent="0.35">
      <c r="A15" t="s">
        <v>8</v>
      </c>
      <c r="B15" s="8">
        <v>41950</v>
      </c>
      <c r="C15">
        <v>10</v>
      </c>
      <c r="D15" t="s">
        <v>23</v>
      </c>
      <c r="E15" t="s">
        <v>4</v>
      </c>
    </row>
    <row r="16" spans="1:5" x14ac:dyDescent="0.35">
      <c r="A16" t="s">
        <v>8</v>
      </c>
      <c r="B16" s="8">
        <v>41950</v>
      </c>
      <c r="C16">
        <v>10</v>
      </c>
      <c r="D16" t="s">
        <v>24</v>
      </c>
      <c r="E16" t="s">
        <v>4</v>
      </c>
    </row>
    <row r="17" spans="1:5" x14ac:dyDescent="0.35">
      <c r="A17" t="s">
        <v>8</v>
      </c>
      <c r="B17" s="8">
        <v>41950</v>
      </c>
      <c r="C17">
        <v>10</v>
      </c>
      <c r="D17" t="s">
        <v>25</v>
      </c>
      <c r="E17" t="s">
        <v>4</v>
      </c>
    </row>
    <row r="18" spans="1:5" x14ac:dyDescent="0.35">
      <c r="A18" t="s">
        <v>8</v>
      </c>
      <c r="B18" s="8">
        <v>41950</v>
      </c>
      <c r="C18">
        <v>10</v>
      </c>
      <c r="D18" t="s">
        <v>26</v>
      </c>
      <c r="E18" t="s">
        <v>5</v>
      </c>
    </row>
    <row r="19" spans="1:5" x14ac:dyDescent="0.35">
      <c r="A19" t="s">
        <v>8</v>
      </c>
      <c r="B19" s="8">
        <v>41950</v>
      </c>
      <c r="C19">
        <v>10</v>
      </c>
      <c r="D19" t="s">
        <v>27</v>
      </c>
      <c r="E19" t="s">
        <v>4</v>
      </c>
    </row>
    <row r="20" spans="1:5" x14ac:dyDescent="0.35">
      <c r="A20" t="s">
        <v>8</v>
      </c>
      <c r="B20" s="8">
        <v>41950</v>
      </c>
      <c r="C20">
        <v>10</v>
      </c>
      <c r="D20" t="s">
        <v>28</v>
      </c>
      <c r="E20" t="s">
        <v>4</v>
      </c>
    </row>
    <row r="21" spans="1:5" x14ac:dyDescent="0.35">
      <c r="A21" t="s">
        <v>8</v>
      </c>
      <c r="B21" s="8">
        <v>41950</v>
      </c>
      <c r="C21">
        <v>10</v>
      </c>
      <c r="D21" t="s">
        <v>29</v>
      </c>
      <c r="E21" t="s">
        <v>6</v>
      </c>
    </row>
    <row r="22" spans="1:5" x14ac:dyDescent="0.35">
      <c r="A22" t="s">
        <v>8</v>
      </c>
      <c r="B22" s="8">
        <v>41950</v>
      </c>
      <c r="C22">
        <v>10</v>
      </c>
      <c r="D22" t="s">
        <v>30</v>
      </c>
      <c r="E22" t="s">
        <v>4</v>
      </c>
    </row>
    <row r="23" spans="1:5" x14ac:dyDescent="0.35">
      <c r="A23" t="s">
        <v>8</v>
      </c>
      <c r="B23" s="8">
        <v>41950</v>
      </c>
      <c r="C23">
        <v>10</v>
      </c>
      <c r="D23" t="s">
        <v>31</v>
      </c>
      <c r="E23" t="s">
        <v>6</v>
      </c>
    </row>
    <row r="24" spans="1:5" x14ac:dyDescent="0.35">
      <c r="A24" t="s">
        <v>8</v>
      </c>
      <c r="B24" s="8">
        <v>41950</v>
      </c>
      <c r="C24">
        <v>10</v>
      </c>
      <c r="D24" t="s">
        <v>32</v>
      </c>
      <c r="E24" t="s">
        <v>4</v>
      </c>
    </row>
    <row r="25" spans="1:5" x14ac:dyDescent="0.35">
      <c r="A25" t="s">
        <v>8</v>
      </c>
      <c r="B25" s="8">
        <v>41950</v>
      </c>
      <c r="C25">
        <v>10</v>
      </c>
      <c r="D25" t="s">
        <v>33</v>
      </c>
      <c r="E25" t="s">
        <v>6</v>
      </c>
    </row>
    <row r="26" spans="1:5" x14ac:dyDescent="0.35">
      <c r="A26" t="s">
        <v>9</v>
      </c>
      <c r="B26" s="8">
        <v>39624</v>
      </c>
      <c r="C26">
        <v>17</v>
      </c>
      <c r="D26" t="s">
        <v>3</v>
      </c>
      <c r="E26" t="s">
        <v>4</v>
      </c>
    </row>
    <row r="27" spans="1:5" x14ac:dyDescent="0.35">
      <c r="A27" t="s">
        <v>9</v>
      </c>
      <c r="B27" s="8">
        <v>39624</v>
      </c>
      <c r="C27">
        <v>17</v>
      </c>
      <c r="D27" t="s">
        <v>23</v>
      </c>
      <c r="E27" t="s">
        <v>4</v>
      </c>
    </row>
    <row r="28" spans="1:5" x14ac:dyDescent="0.35">
      <c r="A28" t="s">
        <v>9</v>
      </c>
      <c r="B28" s="8">
        <v>39624</v>
      </c>
      <c r="C28">
        <v>17</v>
      </c>
      <c r="D28" t="s">
        <v>24</v>
      </c>
      <c r="E28" t="s">
        <v>4</v>
      </c>
    </row>
    <row r="29" spans="1:5" x14ac:dyDescent="0.35">
      <c r="A29" t="s">
        <v>9</v>
      </c>
      <c r="B29" s="8">
        <v>39624</v>
      </c>
      <c r="C29">
        <v>17</v>
      </c>
      <c r="D29" t="s">
        <v>25</v>
      </c>
      <c r="E29" t="s">
        <v>4</v>
      </c>
    </row>
    <row r="30" spans="1:5" x14ac:dyDescent="0.35">
      <c r="A30" t="s">
        <v>9</v>
      </c>
      <c r="B30" s="8">
        <v>39624</v>
      </c>
      <c r="C30">
        <v>17</v>
      </c>
      <c r="D30" t="s">
        <v>26</v>
      </c>
      <c r="E30" t="s">
        <v>4</v>
      </c>
    </row>
    <row r="31" spans="1:5" x14ac:dyDescent="0.35">
      <c r="A31" t="s">
        <v>9</v>
      </c>
      <c r="B31" s="8">
        <v>39624</v>
      </c>
      <c r="C31">
        <v>17</v>
      </c>
      <c r="D31" t="s">
        <v>27</v>
      </c>
      <c r="E31" t="s">
        <v>4</v>
      </c>
    </row>
    <row r="32" spans="1:5" x14ac:dyDescent="0.35">
      <c r="A32" t="s">
        <v>9</v>
      </c>
      <c r="B32" s="8">
        <v>39624</v>
      </c>
      <c r="C32">
        <v>17</v>
      </c>
      <c r="D32" t="s">
        <v>28</v>
      </c>
      <c r="E32" t="s">
        <v>4</v>
      </c>
    </row>
    <row r="33" spans="1:5" x14ac:dyDescent="0.35">
      <c r="A33" t="s">
        <v>9</v>
      </c>
      <c r="B33" s="8">
        <v>39624</v>
      </c>
      <c r="C33">
        <v>17</v>
      </c>
      <c r="D33" t="s">
        <v>29</v>
      </c>
      <c r="E33" t="s">
        <v>6</v>
      </c>
    </row>
    <row r="34" spans="1:5" x14ac:dyDescent="0.35">
      <c r="A34" t="s">
        <v>9</v>
      </c>
      <c r="B34" s="8">
        <v>39624</v>
      </c>
      <c r="C34">
        <v>17</v>
      </c>
      <c r="D34" t="s">
        <v>30</v>
      </c>
      <c r="E34" t="s">
        <v>4</v>
      </c>
    </row>
    <row r="35" spans="1:5" x14ac:dyDescent="0.35">
      <c r="A35" t="s">
        <v>9</v>
      </c>
      <c r="B35" s="8">
        <v>39624</v>
      </c>
      <c r="C35">
        <v>17</v>
      </c>
      <c r="D35" t="s">
        <v>31</v>
      </c>
      <c r="E35" t="s">
        <v>4</v>
      </c>
    </row>
    <row r="36" spans="1:5" x14ac:dyDescent="0.35">
      <c r="A36" t="s">
        <v>9</v>
      </c>
      <c r="B36" s="8">
        <v>39624</v>
      </c>
      <c r="C36">
        <v>17</v>
      </c>
      <c r="D36" t="s">
        <v>32</v>
      </c>
      <c r="E36" t="s">
        <v>4</v>
      </c>
    </row>
    <row r="37" spans="1:5" x14ac:dyDescent="0.35">
      <c r="A37" t="s">
        <v>9</v>
      </c>
      <c r="B37" s="8">
        <v>39624</v>
      </c>
      <c r="C37">
        <v>17</v>
      </c>
      <c r="D37" t="s">
        <v>33</v>
      </c>
      <c r="E37" t="s">
        <v>6</v>
      </c>
    </row>
    <row r="38" spans="1:5" x14ac:dyDescent="0.35">
      <c r="A38" t="s">
        <v>10</v>
      </c>
      <c r="B38" s="8">
        <v>41286</v>
      </c>
      <c r="C38">
        <v>12</v>
      </c>
      <c r="D38" t="s">
        <v>3</v>
      </c>
      <c r="E38" t="s">
        <v>4</v>
      </c>
    </row>
    <row r="39" spans="1:5" x14ac:dyDescent="0.35">
      <c r="A39" t="s">
        <v>10</v>
      </c>
      <c r="B39" s="8">
        <v>41286</v>
      </c>
      <c r="C39">
        <v>12</v>
      </c>
      <c r="D39" t="s">
        <v>23</v>
      </c>
      <c r="E39" t="s">
        <v>4</v>
      </c>
    </row>
    <row r="40" spans="1:5" x14ac:dyDescent="0.35">
      <c r="A40" t="s">
        <v>10</v>
      </c>
      <c r="B40" s="8">
        <v>41286</v>
      </c>
      <c r="C40">
        <v>12</v>
      </c>
      <c r="D40" t="s">
        <v>24</v>
      </c>
      <c r="E40" t="s">
        <v>4</v>
      </c>
    </row>
    <row r="41" spans="1:5" x14ac:dyDescent="0.35">
      <c r="A41" t="s">
        <v>10</v>
      </c>
      <c r="B41" s="8">
        <v>41286</v>
      </c>
      <c r="C41">
        <v>12</v>
      </c>
      <c r="D41" t="s">
        <v>25</v>
      </c>
      <c r="E41" t="s">
        <v>4</v>
      </c>
    </row>
    <row r="42" spans="1:5" x14ac:dyDescent="0.35">
      <c r="A42" t="s">
        <v>10</v>
      </c>
      <c r="B42" s="8">
        <v>41286</v>
      </c>
      <c r="C42">
        <v>12</v>
      </c>
      <c r="D42" t="s">
        <v>26</v>
      </c>
      <c r="E42" t="s">
        <v>4</v>
      </c>
    </row>
    <row r="43" spans="1:5" x14ac:dyDescent="0.35">
      <c r="A43" t="s">
        <v>10</v>
      </c>
      <c r="B43" s="8">
        <v>41286</v>
      </c>
      <c r="C43">
        <v>12</v>
      </c>
      <c r="D43" t="s">
        <v>27</v>
      </c>
      <c r="E43" t="s">
        <v>5</v>
      </c>
    </row>
    <row r="44" spans="1:5" x14ac:dyDescent="0.35">
      <c r="A44" t="s">
        <v>10</v>
      </c>
      <c r="B44" s="8">
        <v>41286</v>
      </c>
      <c r="C44">
        <v>12</v>
      </c>
      <c r="D44" t="s">
        <v>28</v>
      </c>
      <c r="E44" t="s">
        <v>4</v>
      </c>
    </row>
    <row r="45" spans="1:5" x14ac:dyDescent="0.35">
      <c r="A45" t="s">
        <v>10</v>
      </c>
      <c r="B45" s="8">
        <v>41286</v>
      </c>
      <c r="C45">
        <v>12</v>
      </c>
      <c r="D45" t="s">
        <v>29</v>
      </c>
      <c r="E45" t="s">
        <v>5</v>
      </c>
    </row>
    <row r="46" spans="1:5" x14ac:dyDescent="0.35">
      <c r="A46" t="s">
        <v>10</v>
      </c>
      <c r="B46" s="8">
        <v>41286</v>
      </c>
      <c r="C46">
        <v>12</v>
      </c>
      <c r="D46" t="s">
        <v>30</v>
      </c>
      <c r="E46" t="s">
        <v>4</v>
      </c>
    </row>
    <row r="47" spans="1:5" x14ac:dyDescent="0.35">
      <c r="A47" t="s">
        <v>10</v>
      </c>
      <c r="B47" s="8">
        <v>41286</v>
      </c>
      <c r="C47">
        <v>12</v>
      </c>
      <c r="D47" t="s">
        <v>31</v>
      </c>
      <c r="E47" t="s">
        <v>4</v>
      </c>
    </row>
    <row r="48" spans="1:5" x14ac:dyDescent="0.35">
      <c r="A48" t="s">
        <v>10</v>
      </c>
      <c r="B48" s="8">
        <v>41286</v>
      </c>
      <c r="C48">
        <v>12</v>
      </c>
      <c r="D48" t="s">
        <v>32</v>
      </c>
      <c r="E48" t="s">
        <v>4</v>
      </c>
    </row>
    <row r="49" spans="1:5" x14ac:dyDescent="0.35">
      <c r="A49" t="s">
        <v>10</v>
      </c>
      <c r="B49" s="8">
        <v>41286</v>
      </c>
      <c r="C49">
        <v>12</v>
      </c>
      <c r="D49" t="s">
        <v>33</v>
      </c>
      <c r="E49" t="s">
        <v>6</v>
      </c>
    </row>
    <row r="50" spans="1:5" x14ac:dyDescent="0.35">
      <c r="A50" t="s">
        <v>11</v>
      </c>
      <c r="B50" s="8">
        <v>39355</v>
      </c>
      <c r="C50">
        <v>17</v>
      </c>
      <c r="D50" t="s">
        <v>3</v>
      </c>
      <c r="E50" t="s">
        <v>4</v>
      </c>
    </row>
    <row r="51" spans="1:5" x14ac:dyDescent="0.35">
      <c r="A51" t="s">
        <v>11</v>
      </c>
      <c r="B51" s="8">
        <v>39355</v>
      </c>
      <c r="C51">
        <v>17</v>
      </c>
      <c r="D51" t="s">
        <v>23</v>
      </c>
      <c r="E51" t="s">
        <v>4</v>
      </c>
    </row>
    <row r="52" spans="1:5" x14ac:dyDescent="0.35">
      <c r="A52" t="s">
        <v>11</v>
      </c>
      <c r="B52" s="8">
        <v>39355</v>
      </c>
      <c r="C52">
        <v>17</v>
      </c>
      <c r="D52" t="s">
        <v>24</v>
      </c>
      <c r="E52" t="s">
        <v>4</v>
      </c>
    </row>
    <row r="53" spans="1:5" x14ac:dyDescent="0.35">
      <c r="A53" t="s">
        <v>11</v>
      </c>
      <c r="B53" s="8">
        <v>39355</v>
      </c>
      <c r="C53">
        <v>17</v>
      </c>
      <c r="D53" t="s">
        <v>25</v>
      </c>
      <c r="E53" t="s">
        <v>4</v>
      </c>
    </row>
    <row r="54" spans="1:5" x14ac:dyDescent="0.35">
      <c r="A54" t="s">
        <v>11</v>
      </c>
      <c r="B54" s="8">
        <v>39355</v>
      </c>
      <c r="C54">
        <v>17</v>
      </c>
      <c r="D54" t="s">
        <v>26</v>
      </c>
      <c r="E54" t="s">
        <v>4</v>
      </c>
    </row>
    <row r="55" spans="1:5" x14ac:dyDescent="0.35">
      <c r="A55" t="s">
        <v>11</v>
      </c>
      <c r="B55" s="8">
        <v>39355</v>
      </c>
      <c r="C55">
        <v>17</v>
      </c>
      <c r="D55" t="s">
        <v>27</v>
      </c>
      <c r="E55" t="s">
        <v>4</v>
      </c>
    </row>
    <row r="56" spans="1:5" x14ac:dyDescent="0.35">
      <c r="A56" t="s">
        <v>11</v>
      </c>
      <c r="B56" s="8">
        <v>39355</v>
      </c>
      <c r="C56">
        <v>17</v>
      </c>
      <c r="D56" t="s">
        <v>28</v>
      </c>
      <c r="E56" t="s">
        <v>4</v>
      </c>
    </row>
    <row r="57" spans="1:5" x14ac:dyDescent="0.35">
      <c r="A57" t="s">
        <v>11</v>
      </c>
      <c r="B57" s="8">
        <v>39355</v>
      </c>
      <c r="C57">
        <v>17</v>
      </c>
      <c r="D57" t="s">
        <v>29</v>
      </c>
      <c r="E57" t="s">
        <v>6</v>
      </c>
    </row>
    <row r="58" spans="1:5" x14ac:dyDescent="0.35">
      <c r="A58" t="s">
        <v>11</v>
      </c>
      <c r="B58" s="8">
        <v>39355</v>
      </c>
      <c r="C58">
        <v>17</v>
      </c>
      <c r="D58" t="s">
        <v>30</v>
      </c>
      <c r="E58" t="s">
        <v>4</v>
      </c>
    </row>
    <row r="59" spans="1:5" x14ac:dyDescent="0.35">
      <c r="A59" t="s">
        <v>11</v>
      </c>
      <c r="B59" s="8">
        <v>39355</v>
      </c>
      <c r="C59">
        <v>17</v>
      </c>
      <c r="D59" t="s">
        <v>31</v>
      </c>
      <c r="E59" t="s">
        <v>4</v>
      </c>
    </row>
    <row r="60" spans="1:5" x14ac:dyDescent="0.35">
      <c r="A60" t="s">
        <v>11</v>
      </c>
      <c r="B60" s="8">
        <v>39355</v>
      </c>
      <c r="C60">
        <v>17</v>
      </c>
      <c r="D60" t="s">
        <v>32</v>
      </c>
      <c r="E60" t="s">
        <v>4</v>
      </c>
    </row>
    <row r="61" spans="1:5" x14ac:dyDescent="0.35">
      <c r="A61" t="s">
        <v>11</v>
      </c>
      <c r="B61" s="8">
        <v>39355</v>
      </c>
      <c r="C61">
        <v>17</v>
      </c>
      <c r="D61" t="s">
        <v>33</v>
      </c>
      <c r="E61" t="s">
        <v>6</v>
      </c>
    </row>
    <row r="62" spans="1:5" x14ac:dyDescent="0.35">
      <c r="A62" t="s">
        <v>12</v>
      </c>
      <c r="B62" s="8">
        <v>42097</v>
      </c>
      <c r="C62">
        <v>10</v>
      </c>
      <c r="D62" t="s">
        <v>3</v>
      </c>
      <c r="E62" t="s">
        <v>4</v>
      </c>
    </row>
    <row r="63" spans="1:5" x14ac:dyDescent="0.35">
      <c r="A63" t="s">
        <v>12</v>
      </c>
      <c r="B63" s="8">
        <v>42097</v>
      </c>
      <c r="C63">
        <v>10</v>
      </c>
      <c r="D63" t="s">
        <v>23</v>
      </c>
      <c r="E63" t="s">
        <v>4</v>
      </c>
    </row>
    <row r="64" spans="1:5" x14ac:dyDescent="0.35">
      <c r="A64" t="s">
        <v>12</v>
      </c>
      <c r="B64" s="8">
        <v>42097</v>
      </c>
      <c r="C64">
        <v>10</v>
      </c>
      <c r="D64" t="s">
        <v>24</v>
      </c>
      <c r="E64" t="s">
        <v>4</v>
      </c>
    </row>
    <row r="65" spans="1:5" x14ac:dyDescent="0.35">
      <c r="A65" t="s">
        <v>12</v>
      </c>
      <c r="B65" s="8">
        <v>42097</v>
      </c>
      <c r="C65">
        <v>10</v>
      </c>
      <c r="D65" t="s">
        <v>25</v>
      </c>
      <c r="E65" t="s">
        <v>4</v>
      </c>
    </row>
    <row r="66" spans="1:5" x14ac:dyDescent="0.35">
      <c r="A66" t="s">
        <v>12</v>
      </c>
      <c r="B66" s="8">
        <v>42097</v>
      </c>
      <c r="C66">
        <v>10</v>
      </c>
      <c r="D66" t="s">
        <v>26</v>
      </c>
      <c r="E66" t="s">
        <v>4</v>
      </c>
    </row>
    <row r="67" spans="1:5" x14ac:dyDescent="0.35">
      <c r="A67" t="s">
        <v>12</v>
      </c>
      <c r="B67" s="8">
        <v>42097</v>
      </c>
      <c r="C67">
        <v>10</v>
      </c>
      <c r="D67" t="s">
        <v>27</v>
      </c>
      <c r="E67" t="s">
        <v>4</v>
      </c>
    </row>
    <row r="68" spans="1:5" x14ac:dyDescent="0.35">
      <c r="A68" t="s">
        <v>12</v>
      </c>
      <c r="B68" s="8">
        <v>42097</v>
      </c>
      <c r="C68">
        <v>10</v>
      </c>
      <c r="D68" t="s">
        <v>28</v>
      </c>
      <c r="E68" t="s">
        <v>4</v>
      </c>
    </row>
    <row r="69" spans="1:5" x14ac:dyDescent="0.35">
      <c r="A69" t="s">
        <v>12</v>
      </c>
      <c r="B69" s="8">
        <v>42097</v>
      </c>
      <c r="C69">
        <v>10</v>
      </c>
      <c r="D69" t="s">
        <v>29</v>
      </c>
      <c r="E69" t="s">
        <v>5</v>
      </c>
    </row>
    <row r="70" spans="1:5" x14ac:dyDescent="0.35">
      <c r="A70" t="s">
        <v>12</v>
      </c>
      <c r="B70" s="8">
        <v>42097</v>
      </c>
      <c r="C70">
        <v>10</v>
      </c>
      <c r="D70" t="s">
        <v>30</v>
      </c>
      <c r="E70" t="s">
        <v>4</v>
      </c>
    </row>
    <row r="71" spans="1:5" x14ac:dyDescent="0.35">
      <c r="A71" t="s">
        <v>12</v>
      </c>
      <c r="B71" s="8">
        <v>42097</v>
      </c>
      <c r="C71">
        <v>10</v>
      </c>
      <c r="D71" t="s">
        <v>31</v>
      </c>
      <c r="E71" t="s">
        <v>4</v>
      </c>
    </row>
    <row r="72" spans="1:5" x14ac:dyDescent="0.35">
      <c r="A72" t="s">
        <v>12</v>
      </c>
      <c r="B72" s="8">
        <v>42097</v>
      </c>
      <c r="C72">
        <v>10</v>
      </c>
      <c r="D72" t="s">
        <v>32</v>
      </c>
      <c r="E72" t="s">
        <v>4</v>
      </c>
    </row>
    <row r="73" spans="1:5" x14ac:dyDescent="0.35">
      <c r="A73" t="s">
        <v>12</v>
      </c>
      <c r="B73" s="8">
        <v>42097</v>
      </c>
      <c r="C73">
        <v>10</v>
      </c>
      <c r="D73" t="s">
        <v>33</v>
      </c>
      <c r="E73" t="s">
        <v>6</v>
      </c>
    </row>
    <row r="74" spans="1:5" x14ac:dyDescent="0.35">
      <c r="A74" t="s">
        <v>13</v>
      </c>
      <c r="B74" s="8">
        <v>40163</v>
      </c>
      <c r="C74">
        <v>15</v>
      </c>
      <c r="D74" t="s">
        <v>3</v>
      </c>
      <c r="E74" t="s">
        <v>4</v>
      </c>
    </row>
    <row r="75" spans="1:5" x14ac:dyDescent="0.35">
      <c r="A75" t="s">
        <v>13</v>
      </c>
      <c r="B75" s="8">
        <v>40163</v>
      </c>
      <c r="C75">
        <v>15</v>
      </c>
      <c r="D75" t="s">
        <v>23</v>
      </c>
      <c r="E75" t="s">
        <v>4</v>
      </c>
    </row>
    <row r="76" spans="1:5" x14ac:dyDescent="0.35">
      <c r="A76" t="s">
        <v>13</v>
      </c>
      <c r="B76" s="8">
        <v>40163</v>
      </c>
      <c r="C76">
        <v>15</v>
      </c>
      <c r="D76" t="s">
        <v>24</v>
      </c>
      <c r="E76" t="s">
        <v>4</v>
      </c>
    </row>
    <row r="77" spans="1:5" x14ac:dyDescent="0.35">
      <c r="A77" t="s">
        <v>13</v>
      </c>
      <c r="B77" s="8">
        <v>40163</v>
      </c>
      <c r="C77">
        <v>15</v>
      </c>
      <c r="D77" t="s">
        <v>25</v>
      </c>
      <c r="E77" t="s">
        <v>4</v>
      </c>
    </row>
    <row r="78" spans="1:5" x14ac:dyDescent="0.35">
      <c r="A78" t="s">
        <v>13</v>
      </c>
      <c r="B78" s="8">
        <v>40163</v>
      </c>
      <c r="C78">
        <v>15</v>
      </c>
      <c r="D78" t="s">
        <v>26</v>
      </c>
      <c r="E78" t="s">
        <v>4</v>
      </c>
    </row>
    <row r="79" spans="1:5" x14ac:dyDescent="0.35">
      <c r="A79" t="s">
        <v>13</v>
      </c>
      <c r="B79" s="8">
        <v>40163</v>
      </c>
      <c r="C79">
        <v>15</v>
      </c>
      <c r="D79" t="s">
        <v>27</v>
      </c>
      <c r="E79" t="s">
        <v>4</v>
      </c>
    </row>
    <row r="80" spans="1:5" x14ac:dyDescent="0.35">
      <c r="A80" t="s">
        <v>13</v>
      </c>
      <c r="B80" s="8">
        <v>40163</v>
      </c>
      <c r="C80">
        <v>15</v>
      </c>
      <c r="D80" t="s">
        <v>28</v>
      </c>
      <c r="E80" t="s">
        <v>4</v>
      </c>
    </row>
    <row r="81" spans="1:5" x14ac:dyDescent="0.35">
      <c r="A81" t="s">
        <v>13</v>
      </c>
      <c r="B81" s="8">
        <v>40163</v>
      </c>
      <c r="C81">
        <v>15</v>
      </c>
      <c r="D81" t="s">
        <v>29</v>
      </c>
      <c r="E81" t="s">
        <v>5</v>
      </c>
    </row>
    <row r="82" spans="1:5" x14ac:dyDescent="0.35">
      <c r="A82" t="s">
        <v>13</v>
      </c>
      <c r="B82" s="8">
        <v>40163</v>
      </c>
      <c r="C82">
        <v>15</v>
      </c>
      <c r="D82" t="s">
        <v>30</v>
      </c>
      <c r="E82" t="s">
        <v>4</v>
      </c>
    </row>
    <row r="83" spans="1:5" x14ac:dyDescent="0.35">
      <c r="A83" t="s">
        <v>13</v>
      </c>
      <c r="B83" s="8">
        <v>40163</v>
      </c>
      <c r="C83">
        <v>15</v>
      </c>
      <c r="D83" t="s">
        <v>31</v>
      </c>
      <c r="E83" t="s">
        <v>4</v>
      </c>
    </row>
    <row r="84" spans="1:5" x14ac:dyDescent="0.35">
      <c r="A84" t="s">
        <v>13</v>
      </c>
      <c r="B84" s="8">
        <v>40163</v>
      </c>
      <c r="C84">
        <v>15</v>
      </c>
      <c r="D84" t="s">
        <v>32</v>
      </c>
      <c r="E84" t="s">
        <v>4</v>
      </c>
    </row>
    <row r="85" spans="1:5" x14ac:dyDescent="0.35">
      <c r="A85" t="s">
        <v>13</v>
      </c>
      <c r="B85" s="8">
        <v>40163</v>
      </c>
      <c r="C85">
        <v>15</v>
      </c>
      <c r="D85" t="s">
        <v>33</v>
      </c>
      <c r="E85" t="s">
        <v>6</v>
      </c>
    </row>
    <row r="86" spans="1:5" x14ac:dyDescent="0.35">
      <c r="A86" t="s">
        <v>14</v>
      </c>
      <c r="B86" s="8">
        <v>40745</v>
      </c>
      <c r="C86">
        <v>14</v>
      </c>
      <c r="D86" t="s">
        <v>3</v>
      </c>
      <c r="E86" t="s">
        <v>4</v>
      </c>
    </row>
    <row r="87" spans="1:5" x14ac:dyDescent="0.35">
      <c r="A87" t="s">
        <v>14</v>
      </c>
      <c r="B87" s="8">
        <v>40745</v>
      </c>
      <c r="C87">
        <v>14</v>
      </c>
      <c r="D87" t="s">
        <v>23</v>
      </c>
      <c r="E87" t="s">
        <v>4</v>
      </c>
    </row>
    <row r="88" spans="1:5" x14ac:dyDescent="0.35">
      <c r="A88" t="s">
        <v>14</v>
      </c>
      <c r="B88" s="8">
        <v>40745</v>
      </c>
      <c r="C88">
        <v>14</v>
      </c>
      <c r="D88" t="s">
        <v>24</v>
      </c>
      <c r="E88" t="s">
        <v>4</v>
      </c>
    </row>
    <row r="89" spans="1:5" x14ac:dyDescent="0.35">
      <c r="A89" t="s">
        <v>14</v>
      </c>
      <c r="B89" s="8">
        <v>40745</v>
      </c>
      <c r="C89">
        <v>14</v>
      </c>
      <c r="D89" t="s">
        <v>25</v>
      </c>
      <c r="E89" t="s">
        <v>4</v>
      </c>
    </row>
    <row r="90" spans="1:5" x14ac:dyDescent="0.35">
      <c r="A90" t="s">
        <v>14</v>
      </c>
      <c r="B90" s="8">
        <v>40745</v>
      </c>
      <c r="C90">
        <v>14</v>
      </c>
      <c r="D90" t="s">
        <v>26</v>
      </c>
      <c r="E90" t="s">
        <v>4</v>
      </c>
    </row>
    <row r="91" spans="1:5" x14ac:dyDescent="0.35">
      <c r="A91" t="s">
        <v>14</v>
      </c>
      <c r="B91" s="8">
        <v>40745</v>
      </c>
      <c r="C91">
        <v>14</v>
      </c>
      <c r="D91" t="s">
        <v>27</v>
      </c>
      <c r="E91" t="s">
        <v>4</v>
      </c>
    </row>
    <row r="92" spans="1:5" x14ac:dyDescent="0.35">
      <c r="A92" t="s">
        <v>14</v>
      </c>
      <c r="B92" s="8">
        <v>40745</v>
      </c>
      <c r="C92">
        <v>14</v>
      </c>
      <c r="D92" t="s">
        <v>28</v>
      </c>
      <c r="E92" t="s">
        <v>4</v>
      </c>
    </row>
    <row r="93" spans="1:5" x14ac:dyDescent="0.35">
      <c r="A93" t="s">
        <v>14</v>
      </c>
      <c r="B93" s="8">
        <v>40745</v>
      </c>
      <c r="C93">
        <v>14</v>
      </c>
      <c r="D93" t="s">
        <v>29</v>
      </c>
      <c r="E93" t="s">
        <v>6</v>
      </c>
    </row>
    <row r="94" spans="1:5" x14ac:dyDescent="0.35">
      <c r="A94" t="s">
        <v>14</v>
      </c>
      <c r="B94" s="8">
        <v>40745</v>
      </c>
      <c r="C94">
        <v>14</v>
      </c>
      <c r="D94" t="s">
        <v>30</v>
      </c>
      <c r="E94" t="s">
        <v>4</v>
      </c>
    </row>
    <row r="95" spans="1:5" x14ac:dyDescent="0.35">
      <c r="A95" t="s">
        <v>14</v>
      </c>
      <c r="B95" s="8">
        <v>40745</v>
      </c>
      <c r="C95">
        <v>14</v>
      </c>
      <c r="D95" t="s">
        <v>31</v>
      </c>
      <c r="E95" t="s">
        <v>6</v>
      </c>
    </row>
    <row r="96" spans="1:5" x14ac:dyDescent="0.35">
      <c r="A96" t="s">
        <v>14</v>
      </c>
      <c r="B96" s="8">
        <v>40745</v>
      </c>
      <c r="C96">
        <v>14</v>
      </c>
      <c r="D96" t="s">
        <v>32</v>
      </c>
      <c r="E96" t="s">
        <v>4</v>
      </c>
    </row>
    <row r="97" spans="1:5" x14ac:dyDescent="0.35">
      <c r="A97" t="s">
        <v>14</v>
      </c>
      <c r="B97" s="8">
        <v>40745</v>
      </c>
      <c r="C97">
        <v>14</v>
      </c>
      <c r="D97" t="s">
        <v>33</v>
      </c>
      <c r="E97" t="s">
        <v>6</v>
      </c>
    </row>
    <row r="98" spans="1:5" x14ac:dyDescent="0.35">
      <c r="A98" t="s">
        <v>15</v>
      </c>
      <c r="B98" s="8">
        <v>41031</v>
      </c>
      <c r="C98">
        <v>13</v>
      </c>
      <c r="D98" t="s">
        <v>3</v>
      </c>
      <c r="E98" t="s">
        <v>4</v>
      </c>
    </row>
    <row r="99" spans="1:5" x14ac:dyDescent="0.35">
      <c r="A99" t="s">
        <v>15</v>
      </c>
      <c r="B99" s="8">
        <v>41031</v>
      </c>
      <c r="C99">
        <v>13</v>
      </c>
      <c r="D99" t="s">
        <v>23</v>
      </c>
      <c r="E99" t="s">
        <v>4</v>
      </c>
    </row>
    <row r="100" spans="1:5" x14ac:dyDescent="0.35">
      <c r="A100" t="s">
        <v>15</v>
      </c>
      <c r="B100" s="8">
        <v>41031</v>
      </c>
      <c r="C100">
        <v>13</v>
      </c>
      <c r="D100" t="s">
        <v>24</v>
      </c>
      <c r="E100" t="s">
        <v>4</v>
      </c>
    </row>
    <row r="101" spans="1:5" x14ac:dyDescent="0.35">
      <c r="A101" t="s">
        <v>15</v>
      </c>
      <c r="B101" s="8">
        <v>41031</v>
      </c>
      <c r="C101">
        <v>13</v>
      </c>
      <c r="D101" t="s">
        <v>25</v>
      </c>
      <c r="E101" t="s">
        <v>4</v>
      </c>
    </row>
    <row r="102" spans="1:5" x14ac:dyDescent="0.35">
      <c r="A102" t="s">
        <v>15</v>
      </c>
      <c r="B102" s="8">
        <v>41031</v>
      </c>
      <c r="C102">
        <v>13</v>
      </c>
      <c r="D102" t="s">
        <v>26</v>
      </c>
      <c r="E102" t="s">
        <v>4</v>
      </c>
    </row>
    <row r="103" spans="1:5" x14ac:dyDescent="0.35">
      <c r="A103" t="s">
        <v>15</v>
      </c>
      <c r="B103" s="8">
        <v>41031</v>
      </c>
      <c r="C103">
        <v>13</v>
      </c>
      <c r="D103" t="s">
        <v>27</v>
      </c>
      <c r="E103" t="s">
        <v>4</v>
      </c>
    </row>
    <row r="104" spans="1:5" x14ac:dyDescent="0.35">
      <c r="A104" t="s">
        <v>15</v>
      </c>
      <c r="B104" s="8">
        <v>41031</v>
      </c>
      <c r="C104">
        <v>13</v>
      </c>
      <c r="D104" t="s">
        <v>28</v>
      </c>
      <c r="E104" t="s">
        <v>4</v>
      </c>
    </row>
    <row r="105" spans="1:5" x14ac:dyDescent="0.35">
      <c r="A105" t="s">
        <v>15</v>
      </c>
      <c r="B105" s="8">
        <v>41031</v>
      </c>
      <c r="C105">
        <v>13</v>
      </c>
      <c r="D105" t="s">
        <v>29</v>
      </c>
      <c r="E105" t="s">
        <v>6</v>
      </c>
    </row>
    <row r="106" spans="1:5" x14ac:dyDescent="0.35">
      <c r="A106" t="s">
        <v>15</v>
      </c>
      <c r="B106" s="8">
        <v>41031</v>
      </c>
      <c r="C106">
        <v>13</v>
      </c>
      <c r="D106" t="s">
        <v>30</v>
      </c>
      <c r="E106" t="s">
        <v>4</v>
      </c>
    </row>
    <row r="107" spans="1:5" x14ac:dyDescent="0.35">
      <c r="A107" t="s">
        <v>15</v>
      </c>
      <c r="B107" s="8">
        <v>41031</v>
      </c>
      <c r="C107">
        <v>13</v>
      </c>
      <c r="D107" t="s">
        <v>31</v>
      </c>
      <c r="E107" t="s">
        <v>4</v>
      </c>
    </row>
    <row r="108" spans="1:5" x14ac:dyDescent="0.35">
      <c r="A108" t="s">
        <v>15</v>
      </c>
      <c r="B108" s="8">
        <v>41031</v>
      </c>
      <c r="C108">
        <v>13</v>
      </c>
      <c r="D108" t="s">
        <v>32</v>
      </c>
      <c r="E108" t="s">
        <v>4</v>
      </c>
    </row>
    <row r="109" spans="1:5" x14ac:dyDescent="0.35">
      <c r="A109" t="s">
        <v>15</v>
      </c>
      <c r="B109" s="8">
        <v>41031</v>
      </c>
      <c r="C109">
        <v>13</v>
      </c>
      <c r="D109" t="s">
        <v>33</v>
      </c>
      <c r="E109" t="s">
        <v>6</v>
      </c>
    </row>
    <row r="110" spans="1:5" x14ac:dyDescent="0.35">
      <c r="A110" t="s">
        <v>16</v>
      </c>
      <c r="B110" s="8">
        <v>39004</v>
      </c>
      <c r="C110">
        <v>18</v>
      </c>
      <c r="D110" t="s">
        <v>3</v>
      </c>
      <c r="E110" t="s">
        <v>4</v>
      </c>
    </row>
    <row r="111" spans="1:5" x14ac:dyDescent="0.35">
      <c r="A111" t="s">
        <v>16</v>
      </c>
      <c r="B111" s="8">
        <v>39004</v>
      </c>
      <c r="C111">
        <v>18</v>
      </c>
      <c r="D111" t="s">
        <v>23</v>
      </c>
      <c r="E111" t="s">
        <v>4</v>
      </c>
    </row>
    <row r="112" spans="1:5" x14ac:dyDescent="0.35">
      <c r="A112" t="s">
        <v>16</v>
      </c>
      <c r="B112" s="8">
        <v>39004</v>
      </c>
      <c r="C112">
        <v>18</v>
      </c>
      <c r="D112" t="s">
        <v>24</v>
      </c>
      <c r="E112" t="s">
        <v>4</v>
      </c>
    </row>
    <row r="113" spans="1:5" x14ac:dyDescent="0.35">
      <c r="A113" t="s">
        <v>16</v>
      </c>
      <c r="B113" s="8">
        <v>39004</v>
      </c>
      <c r="C113">
        <v>18</v>
      </c>
      <c r="D113" t="s">
        <v>25</v>
      </c>
      <c r="E113" t="s">
        <v>4</v>
      </c>
    </row>
    <row r="114" spans="1:5" x14ac:dyDescent="0.35">
      <c r="A114" t="s">
        <v>16</v>
      </c>
      <c r="B114" s="8">
        <v>39004</v>
      </c>
      <c r="C114">
        <v>18</v>
      </c>
      <c r="D114" t="s">
        <v>26</v>
      </c>
      <c r="E114" t="s">
        <v>4</v>
      </c>
    </row>
    <row r="115" spans="1:5" x14ac:dyDescent="0.35">
      <c r="A115" t="s">
        <v>16</v>
      </c>
      <c r="B115" s="8">
        <v>39004</v>
      </c>
      <c r="C115">
        <v>18</v>
      </c>
      <c r="D115" t="s">
        <v>27</v>
      </c>
      <c r="E115" t="s">
        <v>4</v>
      </c>
    </row>
    <row r="116" spans="1:5" x14ac:dyDescent="0.35">
      <c r="A116" t="s">
        <v>16</v>
      </c>
      <c r="B116" s="8">
        <v>39004</v>
      </c>
      <c r="C116">
        <v>18</v>
      </c>
      <c r="D116" t="s">
        <v>28</v>
      </c>
      <c r="E116" t="s">
        <v>4</v>
      </c>
    </row>
    <row r="117" spans="1:5" x14ac:dyDescent="0.35">
      <c r="A117" t="s">
        <v>16</v>
      </c>
      <c r="B117" s="8">
        <v>39004</v>
      </c>
      <c r="C117">
        <v>18</v>
      </c>
      <c r="D117" t="s">
        <v>29</v>
      </c>
      <c r="E117" t="s">
        <v>6</v>
      </c>
    </row>
    <row r="118" spans="1:5" x14ac:dyDescent="0.35">
      <c r="A118" t="s">
        <v>16</v>
      </c>
      <c r="B118" s="8">
        <v>39004</v>
      </c>
      <c r="C118">
        <v>18</v>
      </c>
      <c r="D118" t="s">
        <v>30</v>
      </c>
      <c r="E118" t="s">
        <v>4</v>
      </c>
    </row>
    <row r="119" spans="1:5" x14ac:dyDescent="0.35">
      <c r="A119" t="s">
        <v>16</v>
      </c>
      <c r="B119" s="8">
        <v>39004</v>
      </c>
      <c r="C119">
        <v>18</v>
      </c>
      <c r="D119" t="s">
        <v>31</v>
      </c>
      <c r="E119" t="s">
        <v>4</v>
      </c>
    </row>
    <row r="120" spans="1:5" x14ac:dyDescent="0.35">
      <c r="A120" t="s">
        <v>16</v>
      </c>
      <c r="B120" s="8">
        <v>39004</v>
      </c>
      <c r="C120">
        <v>18</v>
      </c>
      <c r="D120" t="s">
        <v>32</v>
      </c>
      <c r="E120" t="s">
        <v>4</v>
      </c>
    </row>
    <row r="121" spans="1:5" x14ac:dyDescent="0.35">
      <c r="A121" t="s">
        <v>16</v>
      </c>
      <c r="B121" s="8">
        <v>39004</v>
      </c>
      <c r="C121">
        <v>18</v>
      </c>
      <c r="D121" t="s">
        <v>33</v>
      </c>
      <c r="E121" t="s">
        <v>4</v>
      </c>
    </row>
    <row r="122" spans="1:5" x14ac:dyDescent="0.35">
      <c r="A122" t="s">
        <v>17</v>
      </c>
      <c r="B122" s="8">
        <v>39505</v>
      </c>
      <c r="C122">
        <v>17</v>
      </c>
      <c r="D122" t="s">
        <v>3</v>
      </c>
      <c r="E122" t="s">
        <v>4</v>
      </c>
    </row>
    <row r="123" spans="1:5" x14ac:dyDescent="0.35">
      <c r="A123" t="s">
        <v>17</v>
      </c>
      <c r="B123" s="8">
        <v>39505</v>
      </c>
      <c r="C123">
        <v>17</v>
      </c>
      <c r="D123" t="s">
        <v>23</v>
      </c>
      <c r="E123" t="s">
        <v>4</v>
      </c>
    </row>
    <row r="124" spans="1:5" x14ac:dyDescent="0.35">
      <c r="A124" t="s">
        <v>17</v>
      </c>
      <c r="B124" s="8">
        <v>39505</v>
      </c>
      <c r="C124">
        <v>17</v>
      </c>
      <c r="D124" t="s">
        <v>24</v>
      </c>
      <c r="E124" t="s">
        <v>4</v>
      </c>
    </row>
    <row r="125" spans="1:5" x14ac:dyDescent="0.35">
      <c r="A125" t="s">
        <v>17</v>
      </c>
      <c r="B125" s="8">
        <v>39505</v>
      </c>
      <c r="C125">
        <v>17</v>
      </c>
      <c r="D125" t="s">
        <v>25</v>
      </c>
      <c r="E125" t="s">
        <v>4</v>
      </c>
    </row>
    <row r="126" spans="1:5" x14ac:dyDescent="0.35">
      <c r="A126" t="s">
        <v>17</v>
      </c>
      <c r="B126" s="8">
        <v>39505</v>
      </c>
      <c r="C126">
        <v>17</v>
      </c>
      <c r="D126" t="s">
        <v>26</v>
      </c>
      <c r="E126" t="s">
        <v>5</v>
      </c>
    </row>
    <row r="127" spans="1:5" x14ac:dyDescent="0.35">
      <c r="A127" t="s">
        <v>17</v>
      </c>
      <c r="B127" s="8">
        <v>39505</v>
      </c>
      <c r="C127">
        <v>17</v>
      </c>
      <c r="D127" t="s">
        <v>27</v>
      </c>
      <c r="E127" t="s">
        <v>4</v>
      </c>
    </row>
    <row r="128" spans="1:5" x14ac:dyDescent="0.35">
      <c r="A128" t="s">
        <v>17</v>
      </c>
      <c r="B128" s="8">
        <v>39505</v>
      </c>
      <c r="C128">
        <v>17</v>
      </c>
      <c r="D128" t="s">
        <v>28</v>
      </c>
      <c r="E128" t="s">
        <v>4</v>
      </c>
    </row>
    <row r="129" spans="1:5" x14ac:dyDescent="0.35">
      <c r="A129" t="s">
        <v>17</v>
      </c>
      <c r="B129" s="8">
        <v>39505</v>
      </c>
      <c r="C129">
        <v>17</v>
      </c>
      <c r="D129" t="s">
        <v>29</v>
      </c>
      <c r="E129" t="s">
        <v>5</v>
      </c>
    </row>
    <row r="130" spans="1:5" x14ac:dyDescent="0.35">
      <c r="A130" t="s">
        <v>17</v>
      </c>
      <c r="B130" s="8">
        <v>39505</v>
      </c>
      <c r="C130">
        <v>17</v>
      </c>
      <c r="D130" t="s">
        <v>30</v>
      </c>
      <c r="E130" t="s">
        <v>4</v>
      </c>
    </row>
    <row r="131" spans="1:5" x14ac:dyDescent="0.35">
      <c r="A131" t="s">
        <v>17</v>
      </c>
      <c r="B131" s="8">
        <v>39505</v>
      </c>
      <c r="C131">
        <v>17</v>
      </c>
      <c r="D131" t="s">
        <v>31</v>
      </c>
      <c r="E131" t="s">
        <v>4</v>
      </c>
    </row>
    <row r="132" spans="1:5" x14ac:dyDescent="0.35">
      <c r="A132" t="s">
        <v>17</v>
      </c>
      <c r="B132" s="8">
        <v>39505</v>
      </c>
      <c r="C132">
        <v>17</v>
      </c>
      <c r="D132" t="s">
        <v>32</v>
      </c>
      <c r="E132" t="s">
        <v>4</v>
      </c>
    </row>
    <row r="133" spans="1:5" x14ac:dyDescent="0.35">
      <c r="A133" t="s">
        <v>17</v>
      </c>
      <c r="B133" s="8">
        <v>39505</v>
      </c>
      <c r="C133">
        <v>17</v>
      </c>
      <c r="D133" t="s">
        <v>33</v>
      </c>
      <c r="E133" t="s">
        <v>6</v>
      </c>
    </row>
    <row r="134" spans="1:5" x14ac:dyDescent="0.35">
      <c r="A134" t="s">
        <v>18</v>
      </c>
      <c r="B134" s="8">
        <v>40399</v>
      </c>
      <c r="C134">
        <v>14</v>
      </c>
      <c r="D134" t="s">
        <v>3</v>
      </c>
      <c r="E134" t="s">
        <v>4</v>
      </c>
    </row>
    <row r="135" spans="1:5" x14ac:dyDescent="0.35">
      <c r="A135" t="s">
        <v>18</v>
      </c>
      <c r="B135" s="8">
        <v>40399</v>
      </c>
      <c r="C135">
        <v>14</v>
      </c>
      <c r="D135" t="s">
        <v>23</v>
      </c>
      <c r="E135" t="s">
        <v>4</v>
      </c>
    </row>
    <row r="136" spans="1:5" x14ac:dyDescent="0.35">
      <c r="A136" t="s">
        <v>18</v>
      </c>
      <c r="B136" s="8">
        <v>40399</v>
      </c>
      <c r="C136">
        <v>14</v>
      </c>
      <c r="D136" t="s">
        <v>24</v>
      </c>
      <c r="E136" t="s">
        <v>4</v>
      </c>
    </row>
    <row r="137" spans="1:5" x14ac:dyDescent="0.35">
      <c r="A137" t="s">
        <v>18</v>
      </c>
      <c r="B137" s="8">
        <v>40399</v>
      </c>
      <c r="C137">
        <v>14</v>
      </c>
      <c r="D137" t="s">
        <v>25</v>
      </c>
      <c r="E137" t="s">
        <v>4</v>
      </c>
    </row>
    <row r="138" spans="1:5" x14ac:dyDescent="0.35">
      <c r="A138" t="s">
        <v>18</v>
      </c>
      <c r="B138" s="8">
        <v>40399</v>
      </c>
      <c r="C138">
        <v>14</v>
      </c>
      <c r="D138" t="s">
        <v>26</v>
      </c>
      <c r="E138" t="s">
        <v>4</v>
      </c>
    </row>
    <row r="139" spans="1:5" x14ac:dyDescent="0.35">
      <c r="A139" t="s">
        <v>18</v>
      </c>
      <c r="B139" s="8">
        <v>40399</v>
      </c>
      <c r="C139">
        <v>14</v>
      </c>
      <c r="D139" t="s">
        <v>27</v>
      </c>
      <c r="E139" t="s">
        <v>4</v>
      </c>
    </row>
    <row r="140" spans="1:5" x14ac:dyDescent="0.35">
      <c r="A140" t="s">
        <v>18</v>
      </c>
      <c r="B140" s="8">
        <v>40399</v>
      </c>
      <c r="C140">
        <v>14</v>
      </c>
      <c r="D140" t="s">
        <v>28</v>
      </c>
      <c r="E140" t="s">
        <v>4</v>
      </c>
    </row>
    <row r="141" spans="1:5" x14ac:dyDescent="0.35">
      <c r="A141" t="s">
        <v>18</v>
      </c>
      <c r="B141" s="8">
        <v>40399</v>
      </c>
      <c r="C141">
        <v>14</v>
      </c>
      <c r="D141" t="s">
        <v>29</v>
      </c>
      <c r="E141" t="s">
        <v>5</v>
      </c>
    </row>
    <row r="142" spans="1:5" x14ac:dyDescent="0.35">
      <c r="A142" t="s">
        <v>18</v>
      </c>
      <c r="B142" s="8">
        <v>40399</v>
      </c>
      <c r="C142">
        <v>14</v>
      </c>
      <c r="D142" t="s">
        <v>30</v>
      </c>
      <c r="E142" t="s">
        <v>4</v>
      </c>
    </row>
    <row r="143" spans="1:5" x14ac:dyDescent="0.35">
      <c r="A143" t="s">
        <v>18</v>
      </c>
      <c r="B143" s="8">
        <v>40399</v>
      </c>
      <c r="C143">
        <v>14</v>
      </c>
      <c r="D143" t="s">
        <v>31</v>
      </c>
      <c r="E143" t="s">
        <v>4</v>
      </c>
    </row>
    <row r="144" spans="1:5" x14ac:dyDescent="0.35">
      <c r="A144" t="s">
        <v>18</v>
      </c>
      <c r="B144" s="8">
        <v>40399</v>
      </c>
      <c r="C144">
        <v>14</v>
      </c>
      <c r="D144" t="s">
        <v>32</v>
      </c>
      <c r="E144" t="s">
        <v>4</v>
      </c>
    </row>
    <row r="145" spans="1:5" x14ac:dyDescent="0.35">
      <c r="A145" t="s">
        <v>18</v>
      </c>
      <c r="B145" s="8">
        <v>40399</v>
      </c>
      <c r="C145">
        <v>14</v>
      </c>
      <c r="D145" t="s">
        <v>33</v>
      </c>
      <c r="E145" t="s">
        <v>6</v>
      </c>
    </row>
    <row r="146" spans="1:5" x14ac:dyDescent="0.35">
      <c r="A146" t="s">
        <v>19</v>
      </c>
      <c r="B146" s="8">
        <v>42761</v>
      </c>
      <c r="C146">
        <v>8</v>
      </c>
      <c r="D146" t="s">
        <v>3</v>
      </c>
      <c r="E146" t="s">
        <v>4</v>
      </c>
    </row>
    <row r="147" spans="1:5" x14ac:dyDescent="0.35">
      <c r="A147" t="s">
        <v>19</v>
      </c>
      <c r="B147" s="8">
        <v>42761</v>
      </c>
      <c r="C147">
        <v>8</v>
      </c>
      <c r="D147" t="s">
        <v>23</v>
      </c>
      <c r="E147" t="s">
        <v>4</v>
      </c>
    </row>
    <row r="148" spans="1:5" x14ac:dyDescent="0.35">
      <c r="A148" t="s">
        <v>19</v>
      </c>
      <c r="B148" s="8">
        <v>42761</v>
      </c>
      <c r="C148">
        <v>8</v>
      </c>
      <c r="D148" t="s">
        <v>24</v>
      </c>
      <c r="E148" t="s">
        <v>4</v>
      </c>
    </row>
    <row r="149" spans="1:5" x14ac:dyDescent="0.35">
      <c r="A149" t="s">
        <v>19</v>
      </c>
      <c r="B149" s="8">
        <v>42761</v>
      </c>
      <c r="C149">
        <v>8</v>
      </c>
      <c r="D149" t="s">
        <v>25</v>
      </c>
      <c r="E149" t="s">
        <v>4</v>
      </c>
    </row>
    <row r="150" spans="1:5" x14ac:dyDescent="0.35">
      <c r="A150" t="s">
        <v>19</v>
      </c>
      <c r="B150" s="8">
        <v>42761</v>
      </c>
      <c r="C150">
        <v>8</v>
      </c>
      <c r="D150" t="s">
        <v>26</v>
      </c>
      <c r="E150" t="s">
        <v>4</v>
      </c>
    </row>
    <row r="151" spans="1:5" x14ac:dyDescent="0.35">
      <c r="A151" t="s">
        <v>19</v>
      </c>
      <c r="B151" s="8">
        <v>42761</v>
      </c>
      <c r="C151">
        <v>8</v>
      </c>
      <c r="D151" t="s">
        <v>27</v>
      </c>
      <c r="E151" t="s">
        <v>4</v>
      </c>
    </row>
    <row r="152" spans="1:5" x14ac:dyDescent="0.35">
      <c r="A152" t="s">
        <v>19</v>
      </c>
      <c r="B152" s="8">
        <v>42761</v>
      </c>
      <c r="C152">
        <v>8</v>
      </c>
      <c r="D152" t="s">
        <v>28</v>
      </c>
      <c r="E152" t="s">
        <v>4</v>
      </c>
    </row>
    <row r="153" spans="1:5" x14ac:dyDescent="0.35">
      <c r="A153" t="s">
        <v>19</v>
      </c>
      <c r="B153" s="8">
        <v>42761</v>
      </c>
      <c r="C153">
        <v>8</v>
      </c>
      <c r="D153" t="s">
        <v>29</v>
      </c>
      <c r="E153" t="s">
        <v>5</v>
      </c>
    </row>
    <row r="154" spans="1:5" x14ac:dyDescent="0.35">
      <c r="A154" t="s">
        <v>19</v>
      </c>
      <c r="B154" s="8">
        <v>42761</v>
      </c>
      <c r="C154">
        <v>8</v>
      </c>
      <c r="D154" t="s">
        <v>30</v>
      </c>
      <c r="E154" t="s">
        <v>4</v>
      </c>
    </row>
    <row r="155" spans="1:5" x14ac:dyDescent="0.35">
      <c r="A155" t="s">
        <v>19</v>
      </c>
      <c r="B155" s="8">
        <v>42761</v>
      </c>
      <c r="C155">
        <v>8</v>
      </c>
      <c r="D155" t="s">
        <v>31</v>
      </c>
      <c r="E155" t="s">
        <v>4</v>
      </c>
    </row>
    <row r="156" spans="1:5" x14ac:dyDescent="0.35">
      <c r="A156" t="s">
        <v>19</v>
      </c>
      <c r="B156" s="8">
        <v>42761</v>
      </c>
      <c r="C156">
        <v>8</v>
      </c>
      <c r="D156" t="s">
        <v>32</v>
      </c>
      <c r="E156" t="s">
        <v>4</v>
      </c>
    </row>
    <row r="157" spans="1:5" x14ac:dyDescent="0.35">
      <c r="A157" t="s">
        <v>19</v>
      </c>
      <c r="B157" s="8">
        <v>42761</v>
      </c>
      <c r="C157">
        <v>8</v>
      </c>
      <c r="D157" t="s">
        <v>33</v>
      </c>
      <c r="E157" t="s">
        <v>6</v>
      </c>
    </row>
    <row r="158" spans="1:5" x14ac:dyDescent="0.35">
      <c r="A158" t="s">
        <v>20</v>
      </c>
      <c r="B158" s="8">
        <v>41074</v>
      </c>
      <c r="C158">
        <v>13</v>
      </c>
      <c r="D158" t="s">
        <v>3</v>
      </c>
      <c r="E158" t="s">
        <v>4</v>
      </c>
    </row>
    <row r="159" spans="1:5" x14ac:dyDescent="0.35">
      <c r="A159" t="s">
        <v>20</v>
      </c>
      <c r="B159" s="8">
        <v>41074</v>
      </c>
      <c r="C159">
        <v>13</v>
      </c>
      <c r="D159" t="s">
        <v>23</v>
      </c>
      <c r="E159" t="s">
        <v>4</v>
      </c>
    </row>
    <row r="160" spans="1:5" x14ac:dyDescent="0.35">
      <c r="A160" t="s">
        <v>20</v>
      </c>
      <c r="B160" s="8">
        <v>41074</v>
      </c>
      <c r="C160">
        <v>13</v>
      </c>
      <c r="D160" t="s">
        <v>24</v>
      </c>
      <c r="E160" t="s">
        <v>4</v>
      </c>
    </row>
    <row r="161" spans="1:5" x14ac:dyDescent="0.35">
      <c r="A161" t="s">
        <v>20</v>
      </c>
      <c r="B161" s="8">
        <v>41074</v>
      </c>
      <c r="C161">
        <v>13</v>
      </c>
      <c r="D161" t="s">
        <v>25</v>
      </c>
      <c r="E161" t="s">
        <v>4</v>
      </c>
    </row>
    <row r="162" spans="1:5" x14ac:dyDescent="0.35">
      <c r="A162" t="s">
        <v>20</v>
      </c>
      <c r="B162" s="8">
        <v>41074</v>
      </c>
      <c r="C162">
        <v>13</v>
      </c>
      <c r="D162" t="s">
        <v>26</v>
      </c>
      <c r="E162" t="s">
        <v>4</v>
      </c>
    </row>
    <row r="163" spans="1:5" x14ac:dyDescent="0.35">
      <c r="A163" t="s">
        <v>20</v>
      </c>
      <c r="B163" s="8">
        <v>41074</v>
      </c>
      <c r="C163">
        <v>13</v>
      </c>
      <c r="D163" t="s">
        <v>27</v>
      </c>
      <c r="E163" t="s">
        <v>4</v>
      </c>
    </row>
    <row r="164" spans="1:5" x14ac:dyDescent="0.35">
      <c r="A164" t="s">
        <v>20</v>
      </c>
      <c r="B164" s="8">
        <v>41074</v>
      </c>
      <c r="C164">
        <v>13</v>
      </c>
      <c r="D164" t="s">
        <v>28</v>
      </c>
      <c r="E164" t="s">
        <v>4</v>
      </c>
    </row>
    <row r="165" spans="1:5" x14ac:dyDescent="0.35">
      <c r="A165" t="s">
        <v>20</v>
      </c>
      <c r="B165" s="8">
        <v>41074</v>
      </c>
      <c r="C165">
        <v>13</v>
      </c>
      <c r="D165" t="s">
        <v>29</v>
      </c>
      <c r="E165" t="s">
        <v>6</v>
      </c>
    </row>
    <row r="166" spans="1:5" x14ac:dyDescent="0.35">
      <c r="A166" t="s">
        <v>20</v>
      </c>
      <c r="B166" s="8">
        <v>41074</v>
      </c>
      <c r="C166">
        <v>13</v>
      </c>
      <c r="D166" t="s">
        <v>30</v>
      </c>
      <c r="E166" t="s">
        <v>4</v>
      </c>
    </row>
    <row r="167" spans="1:5" x14ac:dyDescent="0.35">
      <c r="A167" t="s">
        <v>20</v>
      </c>
      <c r="B167" s="8">
        <v>41074</v>
      </c>
      <c r="C167">
        <v>13</v>
      </c>
      <c r="D167" t="s">
        <v>31</v>
      </c>
      <c r="E167" t="s">
        <v>6</v>
      </c>
    </row>
    <row r="168" spans="1:5" x14ac:dyDescent="0.35">
      <c r="A168" t="s">
        <v>20</v>
      </c>
      <c r="B168" s="8">
        <v>41074</v>
      </c>
      <c r="C168">
        <v>13</v>
      </c>
      <c r="D168" t="s">
        <v>32</v>
      </c>
      <c r="E168" t="s">
        <v>4</v>
      </c>
    </row>
    <row r="169" spans="1:5" x14ac:dyDescent="0.35">
      <c r="A169" t="s">
        <v>20</v>
      </c>
      <c r="B169" s="8">
        <v>41074</v>
      </c>
      <c r="C169">
        <v>13</v>
      </c>
      <c r="D169" t="s">
        <v>33</v>
      </c>
      <c r="E169" t="s">
        <v>6</v>
      </c>
    </row>
    <row r="170" spans="1:5" x14ac:dyDescent="0.35">
      <c r="A170" t="s">
        <v>21</v>
      </c>
      <c r="B170" s="8">
        <v>39902</v>
      </c>
      <c r="C170">
        <v>16</v>
      </c>
      <c r="D170" t="s">
        <v>3</v>
      </c>
      <c r="E170" t="s">
        <v>4</v>
      </c>
    </row>
    <row r="171" spans="1:5" x14ac:dyDescent="0.35">
      <c r="A171" t="s">
        <v>21</v>
      </c>
      <c r="B171" s="8">
        <v>39902</v>
      </c>
      <c r="C171">
        <v>16</v>
      </c>
      <c r="D171" t="s">
        <v>23</v>
      </c>
      <c r="E171" t="s">
        <v>4</v>
      </c>
    </row>
    <row r="172" spans="1:5" x14ac:dyDescent="0.35">
      <c r="A172" t="s">
        <v>21</v>
      </c>
      <c r="B172" s="8">
        <v>39902</v>
      </c>
      <c r="C172">
        <v>16</v>
      </c>
      <c r="D172" t="s">
        <v>24</v>
      </c>
      <c r="E172" t="s">
        <v>4</v>
      </c>
    </row>
    <row r="173" spans="1:5" x14ac:dyDescent="0.35">
      <c r="A173" t="s">
        <v>21</v>
      </c>
      <c r="B173" s="8">
        <v>39902</v>
      </c>
      <c r="C173">
        <v>16</v>
      </c>
      <c r="D173" t="s">
        <v>25</v>
      </c>
      <c r="E173" t="s">
        <v>4</v>
      </c>
    </row>
    <row r="174" spans="1:5" x14ac:dyDescent="0.35">
      <c r="A174" t="s">
        <v>21</v>
      </c>
      <c r="B174" s="8">
        <v>39902</v>
      </c>
      <c r="C174">
        <v>16</v>
      </c>
      <c r="D174" t="s">
        <v>26</v>
      </c>
      <c r="E174" t="s">
        <v>4</v>
      </c>
    </row>
    <row r="175" spans="1:5" x14ac:dyDescent="0.35">
      <c r="A175" t="s">
        <v>21</v>
      </c>
      <c r="B175" s="8">
        <v>39902</v>
      </c>
      <c r="C175">
        <v>16</v>
      </c>
      <c r="D175" t="s">
        <v>27</v>
      </c>
      <c r="E175" t="s">
        <v>4</v>
      </c>
    </row>
    <row r="176" spans="1:5" x14ac:dyDescent="0.35">
      <c r="A176" t="s">
        <v>21</v>
      </c>
      <c r="B176" s="8">
        <v>39902</v>
      </c>
      <c r="C176">
        <v>16</v>
      </c>
      <c r="D176" t="s">
        <v>28</v>
      </c>
      <c r="E176" t="s">
        <v>4</v>
      </c>
    </row>
    <row r="177" spans="1:5" x14ac:dyDescent="0.35">
      <c r="A177" t="s">
        <v>21</v>
      </c>
      <c r="B177" s="8">
        <v>39902</v>
      </c>
      <c r="C177">
        <v>16</v>
      </c>
      <c r="D177" t="s">
        <v>29</v>
      </c>
      <c r="E177" t="s">
        <v>5</v>
      </c>
    </row>
    <row r="178" spans="1:5" x14ac:dyDescent="0.35">
      <c r="A178" t="s">
        <v>21</v>
      </c>
      <c r="B178" s="8">
        <v>39902</v>
      </c>
      <c r="C178">
        <v>16</v>
      </c>
      <c r="D178" t="s">
        <v>30</v>
      </c>
      <c r="E178" t="s">
        <v>4</v>
      </c>
    </row>
    <row r="179" spans="1:5" x14ac:dyDescent="0.35">
      <c r="A179" t="s">
        <v>21</v>
      </c>
      <c r="B179" s="8">
        <v>39902</v>
      </c>
      <c r="C179">
        <v>16</v>
      </c>
      <c r="D179" t="s">
        <v>31</v>
      </c>
      <c r="E179" t="s">
        <v>4</v>
      </c>
    </row>
    <row r="180" spans="1:5" x14ac:dyDescent="0.35">
      <c r="A180" t="s">
        <v>21</v>
      </c>
      <c r="B180" s="8">
        <v>39902</v>
      </c>
      <c r="C180">
        <v>16</v>
      </c>
      <c r="D180" t="s">
        <v>32</v>
      </c>
      <c r="E180" t="s">
        <v>4</v>
      </c>
    </row>
    <row r="181" spans="1:5" x14ac:dyDescent="0.35">
      <c r="A181" t="s">
        <v>21</v>
      </c>
      <c r="B181" s="8">
        <v>39902</v>
      </c>
      <c r="C181">
        <v>16</v>
      </c>
      <c r="D181" t="s">
        <v>33</v>
      </c>
      <c r="E181" t="s">
        <v>4</v>
      </c>
    </row>
    <row r="182" spans="1:5" x14ac:dyDescent="0.35">
      <c r="A182" t="s">
        <v>22</v>
      </c>
      <c r="B182" s="8">
        <v>39052</v>
      </c>
      <c r="C182">
        <v>18</v>
      </c>
      <c r="D182" t="s">
        <v>3</v>
      </c>
      <c r="E182" t="s">
        <v>4</v>
      </c>
    </row>
    <row r="183" spans="1:5" x14ac:dyDescent="0.35">
      <c r="A183" t="s">
        <v>22</v>
      </c>
      <c r="B183" s="8">
        <v>39052</v>
      </c>
      <c r="C183">
        <v>18</v>
      </c>
      <c r="D183" t="s">
        <v>23</v>
      </c>
      <c r="E183" t="s">
        <v>4</v>
      </c>
    </row>
    <row r="184" spans="1:5" x14ac:dyDescent="0.35">
      <c r="A184" t="s">
        <v>22</v>
      </c>
      <c r="B184" s="8">
        <v>39052</v>
      </c>
      <c r="C184">
        <v>18</v>
      </c>
      <c r="D184" t="s">
        <v>24</v>
      </c>
      <c r="E184" t="s">
        <v>4</v>
      </c>
    </row>
    <row r="185" spans="1:5" x14ac:dyDescent="0.35">
      <c r="A185" t="s">
        <v>22</v>
      </c>
      <c r="B185" s="8">
        <v>39052</v>
      </c>
      <c r="C185">
        <v>18</v>
      </c>
      <c r="D185" t="s">
        <v>25</v>
      </c>
      <c r="E185" t="s">
        <v>4</v>
      </c>
    </row>
    <row r="186" spans="1:5" x14ac:dyDescent="0.35">
      <c r="A186" t="s">
        <v>22</v>
      </c>
      <c r="B186" s="8">
        <v>39052</v>
      </c>
      <c r="C186">
        <v>18</v>
      </c>
      <c r="D186" t="s">
        <v>26</v>
      </c>
      <c r="E186" t="s">
        <v>4</v>
      </c>
    </row>
    <row r="187" spans="1:5" x14ac:dyDescent="0.35">
      <c r="A187" t="s">
        <v>22</v>
      </c>
      <c r="B187" s="8">
        <v>39052</v>
      </c>
      <c r="C187">
        <v>18</v>
      </c>
      <c r="D187" t="s">
        <v>27</v>
      </c>
      <c r="E187" t="s">
        <v>4</v>
      </c>
    </row>
    <row r="188" spans="1:5" x14ac:dyDescent="0.35">
      <c r="A188" t="s">
        <v>22</v>
      </c>
      <c r="B188" s="8">
        <v>39052</v>
      </c>
      <c r="C188">
        <v>18</v>
      </c>
      <c r="D188" t="s">
        <v>28</v>
      </c>
      <c r="E188" t="s">
        <v>4</v>
      </c>
    </row>
    <row r="189" spans="1:5" x14ac:dyDescent="0.35">
      <c r="A189" t="s">
        <v>22</v>
      </c>
      <c r="B189" s="8">
        <v>39052</v>
      </c>
      <c r="C189">
        <v>18</v>
      </c>
      <c r="D189" t="s">
        <v>29</v>
      </c>
      <c r="E189" t="s">
        <v>5</v>
      </c>
    </row>
    <row r="190" spans="1:5" x14ac:dyDescent="0.35">
      <c r="A190" t="s">
        <v>22</v>
      </c>
      <c r="B190" s="8">
        <v>39052</v>
      </c>
      <c r="C190">
        <v>18</v>
      </c>
      <c r="D190" t="s">
        <v>30</v>
      </c>
      <c r="E190" t="s">
        <v>4</v>
      </c>
    </row>
    <row r="191" spans="1:5" x14ac:dyDescent="0.35">
      <c r="A191" t="s">
        <v>22</v>
      </c>
      <c r="B191" s="8">
        <v>39052</v>
      </c>
      <c r="C191">
        <v>18</v>
      </c>
      <c r="D191" t="s">
        <v>31</v>
      </c>
      <c r="E191" t="s">
        <v>4</v>
      </c>
    </row>
    <row r="192" spans="1:5" x14ac:dyDescent="0.35">
      <c r="A192" t="s">
        <v>22</v>
      </c>
      <c r="B192" s="8">
        <v>39052</v>
      </c>
      <c r="C192">
        <v>18</v>
      </c>
      <c r="D192" t="s">
        <v>32</v>
      </c>
      <c r="E192" t="s">
        <v>4</v>
      </c>
    </row>
    <row r="193" spans="1:5" x14ac:dyDescent="0.35">
      <c r="A193" t="s">
        <v>22</v>
      </c>
      <c r="B193" s="8">
        <v>39052</v>
      </c>
      <c r="C193">
        <v>18</v>
      </c>
      <c r="D193" t="s">
        <v>33</v>
      </c>
      <c r="E193" t="s">
        <v>5</v>
      </c>
    </row>
    <row r="194" spans="1:5" x14ac:dyDescent="0.35">
      <c r="A194" t="s">
        <v>21</v>
      </c>
      <c r="B194" s="8">
        <v>41522</v>
      </c>
      <c r="C194">
        <v>11</v>
      </c>
      <c r="D194" t="s">
        <v>3</v>
      </c>
      <c r="E194" t="s">
        <v>4</v>
      </c>
    </row>
    <row r="195" spans="1:5" x14ac:dyDescent="0.35">
      <c r="A195" t="s">
        <v>21</v>
      </c>
      <c r="B195" s="8">
        <v>41522</v>
      </c>
      <c r="C195">
        <v>11</v>
      </c>
      <c r="D195" t="s">
        <v>23</v>
      </c>
      <c r="E195" t="s">
        <v>4</v>
      </c>
    </row>
    <row r="196" spans="1:5" x14ac:dyDescent="0.35">
      <c r="A196" t="s">
        <v>21</v>
      </c>
      <c r="B196" s="8">
        <v>41522</v>
      </c>
      <c r="C196">
        <v>11</v>
      </c>
      <c r="D196" t="s">
        <v>24</v>
      </c>
      <c r="E196" t="s">
        <v>4</v>
      </c>
    </row>
    <row r="197" spans="1:5" x14ac:dyDescent="0.35">
      <c r="A197" t="s">
        <v>21</v>
      </c>
      <c r="B197" s="8">
        <v>41522</v>
      </c>
      <c r="C197">
        <v>11</v>
      </c>
      <c r="D197" t="s">
        <v>25</v>
      </c>
      <c r="E197" t="s">
        <v>4</v>
      </c>
    </row>
    <row r="198" spans="1:5" x14ac:dyDescent="0.35">
      <c r="A198" t="s">
        <v>21</v>
      </c>
      <c r="B198" s="8">
        <v>41522</v>
      </c>
      <c r="C198">
        <v>11</v>
      </c>
      <c r="D198" t="s">
        <v>26</v>
      </c>
      <c r="E198" t="s">
        <v>4</v>
      </c>
    </row>
    <row r="199" spans="1:5" x14ac:dyDescent="0.35">
      <c r="A199" t="s">
        <v>21</v>
      </c>
      <c r="B199" s="8">
        <v>41522</v>
      </c>
      <c r="C199">
        <v>11</v>
      </c>
      <c r="D199" t="s">
        <v>27</v>
      </c>
      <c r="E199" t="s">
        <v>4</v>
      </c>
    </row>
    <row r="200" spans="1:5" x14ac:dyDescent="0.35">
      <c r="A200" t="s">
        <v>21</v>
      </c>
      <c r="B200" s="8">
        <v>41522</v>
      </c>
      <c r="C200">
        <v>11</v>
      </c>
      <c r="D200" t="s">
        <v>28</v>
      </c>
      <c r="E200" t="s">
        <v>4</v>
      </c>
    </row>
    <row r="201" spans="1:5" x14ac:dyDescent="0.35">
      <c r="A201" t="s">
        <v>21</v>
      </c>
      <c r="B201" s="8">
        <v>41522</v>
      </c>
      <c r="C201">
        <v>11</v>
      </c>
      <c r="D201" t="s">
        <v>29</v>
      </c>
      <c r="E201" t="s">
        <v>6</v>
      </c>
    </row>
    <row r="202" spans="1:5" x14ac:dyDescent="0.35">
      <c r="A202" t="s">
        <v>21</v>
      </c>
      <c r="B202" s="8">
        <v>41522</v>
      </c>
      <c r="C202">
        <v>11</v>
      </c>
      <c r="D202" t="s">
        <v>30</v>
      </c>
      <c r="E202" t="s">
        <v>4</v>
      </c>
    </row>
    <row r="203" spans="1:5" x14ac:dyDescent="0.35">
      <c r="A203" t="s">
        <v>21</v>
      </c>
      <c r="B203" s="8">
        <v>41522</v>
      </c>
      <c r="C203">
        <v>11</v>
      </c>
      <c r="D203" t="s">
        <v>31</v>
      </c>
      <c r="E203" t="s">
        <v>4</v>
      </c>
    </row>
    <row r="204" spans="1:5" x14ac:dyDescent="0.35">
      <c r="A204" t="s">
        <v>21</v>
      </c>
      <c r="B204" s="8">
        <v>41522</v>
      </c>
      <c r="C204">
        <v>11</v>
      </c>
      <c r="D204" t="s">
        <v>32</v>
      </c>
      <c r="E204" t="s">
        <v>4</v>
      </c>
    </row>
    <row r="205" spans="1:5" x14ac:dyDescent="0.35">
      <c r="A205" t="s">
        <v>21</v>
      </c>
      <c r="B205" s="8">
        <v>41522</v>
      </c>
      <c r="C205">
        <v>11</v>
      </c>
      <c r="D205" t="s">
        <v>33</v>
      </c>
      <c r="E205" t="s">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
  <sheetViews>
    <sheetView tabSelected="1" workbookViewId="0">
      <selection activeCell="O1" sqref="O1"/>
    </sheetView>
  </sheetViews>
  <sheetFormatPr defaultRowHeight="14.5" x14ac:dyDescent="0.35"/>
  <cols>
    <col min="1" max="1" width="14.54296875" style="1" customWidth="1"/>
    <col min="2" max="2" width="13.54296875" style="1" customWidth="1"/>
    <col min="3" max="3" width="8.7265625" style="1"/>
    <col min="4" max="4" width="19.36328125" style="1" customWidth="1"/>
    <col min="5" max="5" width="29.26953125" style="1" customWidth="1"/>
    <col min="6" max="6" width="36.08984375" style="1" customWidth="1"/>
    <col min="7" max="7" width="34.26953125" style="1" customWidth="1"/>
    <col min="8" max="8" width="27.81640625" style="1" customWidth="1"/>
    <col min="9" max="9" width="24.26953125" style="1" customWidth="1"/>
    <col min="10" max="10" width="34.7265625" style="1" customWidth="1"/>
    <col min="11" max="11" width="27.36328125" style="1" customWidth="1"/>
    <col min="12" max="12" width="37.7265625" style="1" customWidth="1"/>
    <col min="13" max="13" width="21" style="1" customWidth="1"/>
    <col min="14" max="14" width="23.90625" style="1" customWidth="1"/>
    <col min="15" max="15" width="24.7265625" style="1" customWidth="1"/>
    <col min="16" max="16384" width="8.7265625" style="1"/>
  </cols>
  <sheetData>
    <row r="1" spans="1:15" s="2" customFormat="1" x14ac:dyDescent="0.35">
      <c r="A1" s="5" t="s">
        <v>0</v>
      </c>
      <c r="B1" s="2" t="s">
        <v>1</v>
      </c>
      <c r="C1" s="2" t="s">
        <v>2</v>
      </c>
      <c r="D1" s="3" t="s">
        <v>3</v>
      </c>
      <c r="E1" s="3" t="s">
        <v>23</v>
      </c>
      <c r="F1" s="3" t="s">
        <v>24</v>
      </c>
      <c r="G1" s="3" t="s">
        <v>25</v>
      </c>
      <c r="H1" s="3" t="s">
        <v>26</v>
      </c>
      <c r="I1" s="3" t="s">
        <v>27</v>
      </c>
      <c r="J1" s="3" t="s">
        <v>28</v>
      </c>
      <c r="K1" s="3" t="s">
        <v>29</v>
      </c>
      <c r="L1" s="3" t="s">
        <v>30</v>
      </c>
      <c r="M1" s="3" t="s">
        <v>31</v>
      </c>
      <c r="N1" s="3" t="s">
        <v>32</v>
      </c>
      <c r="O1" s="3" t="s">
        <v>33</v>
      </c>
    </row>
    <row r="2" spans="1:15" x14ac:dyDescent="0.35">
      <c r="A2" s="1" t="s">
        <v>7</v>
      </c>
      <c r="B2" s="4">
        <v>40255</v>
      </c>
      <c r="C2" s="1">
        <f ca="1">DATEDIF(B2, TODAY(), "Y")</f>
        <v>15</v>
      </c>
      <c r="D2" s="1" t="s">
        <v>4</v>
      </c>
      <c r="E2" s="1" t="s">
        <v>4</v>
      </c>
      <c r="F2" s="1" t="s">
        <v>4</v>
      </c>
      <c r="G2" s="1" t="s">
        <v>4</v>
      </c>
      <c r="H2" s="1" t="s">
        <v>5</v>
      </c>
      <c r="I2" s="1" t="s">
        <v>4</v>
      </c>
      <c r="J2" s="1" t="s">
        <v>4</v>
      </c>
      <c r="K2" s="1" t="s">
        <v>5</v>
      </c>
      <c r="L2" s="1" t="s">
        <v>4</v>
      </c>
      <c r="M2" s="1" t="s">
        <v>4</v>
      </c>
      <c r="N2" s="1" t="s">
        <v>4</v>
      </c>
      <c r="O2" s="1" t="s">
        <v>4</v>
      </c>
    </row>
    <row r="3" spans="1:15" x14ac:dyDescent="0.35">
      <c r="A3" s="1" t="s">
        <v>8</v>
      </c>
      <c r="B3" s="9">
        <v>41950</v>
      </c>
      <c r="C3" s="1">
        <f t="shared" ref="C3:C18" ca="1" si="0">DATEDIF(B3, TODAY(), "Y")</f>
        <v>10</v>
      </c>
      <c r="D3" s="1" t="s">
        <v>4</v>
      </c>
      <c r="E3" s="1" t="s">
        <v>4</v>
      </c>
      <c r="F3" s="1" t="s">
        <v>4</v>
      </c>
      <c r="G3" s="1" t="s">
        <v>4</v>
      </c>
      <c r="H3" s="1" t="s">
        <v>5</v>
      </c>
      <c r="I3" s="1" t="s">
        <v>4</v>
      </c>
      <c r="J3" s="1" t="s">
        <v>4</v>
      </c>
      <c r="K3" s="1" t="s">
        <v>6</v>
      </c>
      <c r="L3" s="1" t="s">
        <v>4</v>
      </c>
      <c r="M3" s="1" t="s">
        <v>6</v>
      </c>
      <c r="N3" s="1" t="s">
        <v>4</v>
      </c>
      <c r="O3" s="1" t="s">
        <v>6</v>
      </c>
    </row>
    <row r="4" spans="1:15" x14ac:dyDescent="0.35">
      <c r="A4" s="1" t="s">
        <v>9</v>
      </c>
      <c r="B4" s="9">
        <v>39624</v>
      </c>
      <c r="C4" s="1">
        <f t="shared" ca="1" si="0"/>
        <v>17</v>
      </c>
      <c r="D4" s="1" t="s">
        <v>4</v>
      </c>
      <c r="E4" s="1" t="s">
        <v>4</v>
      </c>
      <c r="F4" s="1" t="s">
        <v>4</v>
      </c>
      <c r="G4" s="1" t="s">
        <v>4</v>
      </c>
      <c r="H4" s="1" t="s">
        <v>4</v>
      </c>
      <c r="I4" s="1" t="s">
        <v>4</v>
      </c>
      <c r="J4" s="1" t="s">
        <v>4</v>
      </c>
      <c r="K4" s="1" t="s">
        <v>6</v>
      </c>
      <c r="L4" s="1" t="s">
        <v>4</v>
      </c>
      <c r="M4" s="1" t="s">
        <v>4</v>
      </c>
      <c r="N4" s="1" t="s">
        <v>4</v>
      </c>
      <c r="O4" s="1" t="s">
        <v>6</v>
      </c>
    </row>
    <row r="5" spans="1:15" x14ac:dyDescent="0.35">
      <c r="A5" s="1" t="s">
        <v>10</v>
      </c>
      <c r="B5" s="9">
        <v>41286</v>
      </c>
      <c r="C5" s="1">
        <f t="shared" ca="1" si="0"/>
        <v>12</v>
      </c>
      <c r="D5" s="1" t="s">
        <v>4</v>
      </c>
      <c r="E5" s="1" t="s">
        <v>4</v>
      </c>
      <c r="F5" s="1" t="s">
        <v>4</v>
      </c>
      <c r="G5" s="1" t="s">
        <v>4</v>
      </c>
      <c r="H5" s="1" t="s">
        <v>4</v>
      </c>
      <c r="I5" s="1" t="s">
        <v>5</v>
      </c>
      <c r="J5" s="1" t="s">
        <v>4</v>
      </c>
      <c r="K5" s="1" t="s">
        <v>5</v>
      </c>
      <c r="L5" s="1" t="s">
        <v>4</v>
      </c>
      <c r="M5" s="1" t="s">
        <v>4</v>
      </c>
      <c r="N5" s="1" t="s">
        <v>4</v>
      </c>
      <c r="O5" s="1" t="s">
        <v>6</v>
      </c>
    </row>
    <row r="6" spans="1:15" x14ac:dyDescent="0.35">
      <c r="A6" s="1" t="s">
        <v>11</v>
      </c>
      <c r="B6" s="9">
        <v>39355</v>
      </c>
      <c r="C6" s="1">
        <f t="shared" ca="1" si="0"/>
        <v>17</v>
      </c>
      <c r="D6" s="1" t="s">
        <v>4</v>
      </c>
      <c r="E6" s="1" t="s">
        <v>4</v>
      </c>
      <c r="F6" s="1" t="s">
        <v>4</v>
      </c>
      <c r="G6" s="1" t="s">
        <v>4</v>
      </c>
      <c r="H6" s="1" t="s">
        <v>4</v>
      </c>
      <c r="I6" s="1" t="s">
        <v>4</v>
      </c>
      <c r="J6" s="1" t="s">
        <v>4</v>
      </c>
      <c r="K6" s="1" t="s">
        <v>6</v>
      </c>
      <c r="L6" s="1" t="s">
        <v>4</v>
      </c>
      <c r="M6" s="1" t="s">
        <v>4</v>
      </c>
      <c r="N6" s="1" t="s">
        <v>4</v>
      </c>
      <c r="O6" s="1" t="s">
        <v>6</v>
      </c>
    </row>
    <row r="7" spans="1:15" x14ac:dyDescent="0.35">
      <c r="A7" s="1" t="s">
        <v>12</v>
      </c>
      <c r="B7" s="9">
        <v>42097</v>
      </c>
      <c r="C7" s="1">
        <f t="shared" ca="1" si="0"/>
        <v>10</v>
      </c>
      <c r="D7" s="1" t="s">
        <v>4</v>
      </c>
      <c r="E7" s="1" t="s">
        <v>4</v>
      </c>
      <c r="F7" s="1" t="s">
        <v>4</v>
      </c>
      <c r="G7" s="1" t="s">
        <v>4</v>
      </c>
      <c r="H7" s="1" t="s">
        <v>4</v>
      </c>
      <c r="I7" s="1" t="s">
        <v>4</v>
      </c>
      <c r="J7" s="1" t="s">
        <v>4</v>
      </c>
      <c r="K7" s="1" t="s">
        <v>5</v>
      </c>
      <c r="L7" s="1" t="s">
        <v>4</v>
      </c>
      <c r="M7" s="1" t="s">
        <v>4</v>
      </c>
      <c r="N7" s="1" t="s">
        <v>4</v>
      </c>
      <c r="O7" s="1" t="s">
        <v>6</v>
      </c>
    </row>
    <row r="8" spans="1:15" x14ac:dyDescent="0.35">
      <c r="A8" s="1" t="s">
        <v>13</v>
      </c>
      <c r="B8" s="9">
        <v>40163</v>
      </c>
      <c r="C8" s="1">
        <f t="shared" ca="1" si="0"/>
        <v>15</v>
      </c>
      <c r="D8" s="1" t="s">
        <v>4</v>
      </c>
      <c r="E8" s="1" t="s">
        <v>4</v>
      </c>
      <c r="F8" s="1" t="s">
        <v>4</v>
      </c>
      <c r="G8" s="1" t="s">
        <v>4</v>
      </c>
      <c r="H8" s="1" t="s">
        <v>4</v>
      </c>
      <c r="I8" s="1" t="s">
        <v>4</v>
      </c>
      <c r="J8" s="1" t="s">
        <v>4</v>
      </c>
      <c r="K8" s="1" t="s">
        <v>5</v>
      </c>
      <c r="L8" s="1" t="s">
        <v>4</v>
      </c>
      <c r="M8" s="1" t="s">
        <v>4</v>
      </c>
      <c r="N8" s="1" t="s">
        <v>4</v>
      </c>
      <c r="O8" s="1" t="s">
        <v>6</v>
      </c>
    </row>
    <row r="9" spans="1:15" x14ac:dyDescent="0.35">
      <c r="A9" s="1" t="s">
        <v>14</v>
      </c>
      <c r="B9" s="9">
        <v>40745</v>
      </c>
      <c r="C9" s="1">
        <f t="shared" ca="1" si="0"/>
        <v>14</v>
      </c>
      <c r="D9" s="1" t="s">
        <v>4</v>
      </c>
      <c r="E9" s="1" t="s">
        <v>4</v>
      </c>
      <c r="F9" s="1" t="s">
        <v>4</v>
      </c>
      <c r="G9" s="1" t="s">
        <v>4</v>
      </c>
      <c r="H9" s="1" t="s">
        <v>4</v>
      </c>
      <c r="I9" s="1" t="s">
        <v>4</v>
      </c>
      <c r="J9" s="1" t="s">
        <v>4</v>
      </c>
      <c r="K9" s="1" t="s">
        <v>6</v>
      </c>
      <c r="L9" s="1" t="s">
        <v>4</v>
      </c>
      <c r="M9" s="1" t="s">
        <v>6</v>
      </c>
      <c r="N9" s="1" t="s">
        <v>4</v>
      </c>
      <c r="O9" s="1" t="s">
        <v>6</v>
      </c>
    </row>
    <row r="10" spans="1:15" x14ac:dyDescent="0.35">
      <c r="A10" s="1" t="s">
        <v>15</v>
      </c>
      <c r="B10" s="9">
        <v>41031</v>
      </c>
      <c r="C10" s="1">
        <f t="shared" ca="1" si="0"/>
        <v>13</v>
      </c>
      <c r="D10" s="1" t="s">
        <v>4</v>
      </c>
      <c r="E10" s="1" t="s">
        <v>4</v>
      </c>
      <c r="F10" s="1" t="s">
        <v>4</v>
      </c>
      <c r="G10" s="1" t="s">
        <v>4</v>
      </c>
      <c r="H10" s="1" t="s">
        <v>4</v>
      </c>
      <c r="I10" s="1" t="s">
        <v>4</v>
      </c>
      <c r="J10" s="1" t="s">
        <v>4</v>
      </c>
      <c r="K10" s="1" t="s">
        <v>6</v>
      </c>
      <c r="L10" s="1" t="s">
        <v>4</v>
      </c>
      <c r="M10" s="1" t="s">
        <v>4</v>
      </c>
      <c r="N10" s="1" t="s">
        <v>4</v>
      </c>
      <c r="O10" s="1" t="s">
        <v>6</v>
      </c>
    </row>
    <row r="11" spans="1:15" x14ac:dyDescent="0.35">
      <c r="A11" s="1" t="s">
        <v>16</v>
      </c>
      <c r="B11" s="9">
        <v>39004</v>
      </c>
      <c r="C11" s="1">
        <f t="shared" ca="1" si="0"/>
        <v>18</v>
      </c>
      <c r="D11" s="1" t="s">
        <v>4</v>
      </c>
      <c r="E11" s="1" t="s">
        <v>4</v>
      </c>
      <c r="F11" s="1" t="s">
        <v>4</v>
      </c>
      <c r="G11" s="1" t="s">
        <v>4</v>
      </c>
      <c r="H11" s="1" t="s">
        <v>4</v>
      </c>
      <c r="I11" s="1" t="s">
        <v>4</v>
      </c>
      <c r="J11" s="1" t="s">
        <v>4</v>
      </c>
      <c r="K11" s="1" t="s">
        <v>6</v>
      </c>
      <c r="L11" s="1" t="s">
        <v>4</v>
      </c>
      <c r="M11" s="1" t="s">
        <v>4</v>
      </c>
      <c r="N11" s="1" t="s">
        <v>4</v>
      </c>
      <c r="O11" s="1" t="s">
        <v>4</v>
      </c>
    </row>
    <row r="12" spans="1:15" x14ac:dyDescent="0.35">
      <c r="A12" s="1" t="s">
        <v>17</v>
      </c>
      <c r="B12" s="9">
        <v>39505</v>
      </c>
      <c r="C12" s="1">
        <f t="shared" ca="1" si="0"/>
        <v>17</v>
      </c>
      <c r="D12" s="1" t="s">
        <v>4</v>
      </c>
      <c r="E12" s="1" t="s">
        <v>4</v>
      </c>
      <c r="F12" s="1" t="s">
        <v>4</v>
      </c>
      <c r="G12" s="1" t="s">
        <v>4</v>
      </c>
      <c r="H12" s="1" t="s">
        <v>5</v>
      </c>
      <c r="I12" s="1" t="s">
        <v>4</v>
      </c>
      <c r="J12" s="1" t="s">
        <v>4</v>
      </c>
      <c r="K12" s="1" t="s">
        <v>5</v>
      </c>
      <c r="L12" s="1" t="s">
        <v>4</v>
      </c>
      <c r="M12" s="1" t="s">
        <v>4</v>
      </c>
      <c r="N12" s="1" t="s">
        <v>4</v>
      </c>
      <c r="O12" s="1" t="s">
        <v>6</v>
      </c>
    </row>
    <row r="13" spans="1:15" x14ac:dyDescent="0.35">
      <c r="A13" s="1" t="s">
        <v>18</v>
      </c>
      <c r="B13" s="9">
        <v>40399</v>
      </c>
      <c r="C13" s="1">
        <f t="shared" ca="1" si="0"/>
        <v>14</v>
      </c>
      <c r="D13" s="1" t="s">
        <v>4</v>
      </c>
      <c r="E13" s="1" t="s">
        <v>4</v>
      </c>
      <c r="F13" s="1" t="s">
        <v>4</v>
      </c>
      <c r="G13" s="1" t="s">
        <v>4</v>
      </c>
      <c r="H13" s="1" t="s">
        <v>4</v>
      </c>
      <c r="I13" s="1" t="s">
        <v>4</v>
      </c>
      <c r="J13" s="1" t="s">
        <v>4</v>
      </c>
      <c r="K13" s="1" t="s">
        <v>5</v>
      </c>
      <c r="L13" s="1" t="s">
        <v>4</v>
      </c>
      <c r="M13" s="1" t="s">
        <v>4</v>
      </c>
      <c r="N13" s="1" t="s">
        <v>4</v>
      </c>
      <c r="O13" s="1" t="s">
        <v>6</v>
      </c>
    </row>
    <row r="14" spans="1:15" x14ac:dyDescent="0.35">
      <c r="A14" s="1" t="s">
        <v>19</v>
      </c>
      <c r="B14" s="9">
        <v>42761</v>
      </c>
      <c r="C14" s="1">
        <f t="shared" ca="1" si="0"/>
        <v>8</v>
      </c>
      <c r="D14" s="1" t="s">
        <v>4</v>
      </c>
      <c r="E14" s="1" t="s">
        <v>4</v>
      </c>
      <c r="F14" s="1" t="s">
        <v>4</v>
      </c>
      <c r="G14" s="1" t="s">
        <v>4</v>
      </c>
      <c r="H14" s="1" t="s">
        <v>4</v>
      </c>
      <c r="I14" s="1" t="s">
        <v>4</v>
      </c>
      <c r="J14" s="1" t="s">
        <v>4</v>
      </c>
      <c r="K14" s="1" t="s">
        <v>5</v>
      </c>
      <c r="L14" s="1" t="s">
        <v>4</v>
      </c>
      <c r="M14" s="1" t="s">
        <v>4</v>
      </c>
      <c r="N14" s="1" t="s">
        <v>4</v>
      </c>
      <c r="O14" s="1" t="s">
        <v>6</v>
      </c>
    </row>
    <row r="15" spans="1:15" x14ac:dyDescent="0.35">
      <c r="A15" s="1" t="s">
        <v>20</v>
      </c>
      <c r="B15" s="9">
        <v>41074</v>
      </c>
      <c r="C15" s="1">
        <f t="shared" ca="1" si="0"/>
        <v>13</v>
      </c>
      <c r="D15" s="1" t="s">
        <v>4</v>
      </c>
      <c r="E15" s="1" t="s">
        <v>4</v>
      </c>
      <c r="F15" s="1" t="s">
        <v>4</v>
      </c>
      <c r="G15" s="1" t="s">
        <v>4</v>
      </c>
      <c r="H15" s="1" t="s">
        <v>4</v>
      </c>
      <c r="I15" s="1" t="s">
        <v>4</v>
      </c>
      <c r="J15" s="1" t="s">
        <v>4</v>
      </c>
      <c r="K15" s="1" t="s">
        <v>6</v>
      </c>
      <c r="L15" s="1" t="s">
        <v>4</v>
      </c>
      <c r="M15" s="1" t="s">
        <v>6</v>
      </c>
      <c r="N15" s="1" t="s">
        <v>4</v>
      </c>
      <c r="O15" s="1" t="s">
        <v>6</v>
      </c>
    </row>
    <row r="16" spans="1:15" x14ac:dyDescent="0.35">
      <c r="A16" s="1" t="s">
        <v>21</v>
      </c>
      <c r="B16" s="9">
        <v>39902</v>
      </c>
      <c r="C16" s="1">
        <f t="shared" ca="1" si="0"/>
        <v>16</v>
      </c>
      <c r="D16" s="1" t="s">
        <v>4</v>
      </c>
      <c r="E16" s="1" t="s">
        <v>4</v>
      </c>
      <c r="F16" s="1" t="s">
        <v>4</v>
      </c>
      <c r="G16" s="1" t="s">
        <v>4</v>
      </c>
      <c r="H16" s="1" t="s">
        <v>4</v>
      </c>
      <c r="I16" s="1" t="s">
        <v>4</v>
      </c>
      <c r="J16" s="1" t="s">
        <v>4</v>
      </c>
      <c r="K16" s="1" t="s">
        <v>5</v>
      </c>
      <c r="L16" s="1" t="s">
        <v>4</v>
      </c>
      <c r="M16" s="1" t="s">
        <v>4</v>
      </c>
      <c r="N16" s="1" t="s">
        <v>4</v>
      </c>
      <c r="O16" s="1" t="s">
        <v>4</v>
      </c>
    </row>
    <row r="17" spans="1:15" x14ac:dyDescent="0.35">
      <c r="A17" s="1" t="s">
        <v>22</v>
      </c>
      <c r="B17" s="9">
        <v>39052</v>
      </c>
      <c r="C17" s="1">
        <f t="shared" ca="1" si="0"/>
        <v>18</v>
      </c>
      <c r="D17" s="1" t="s">
        <v>4</v>
      </c>
      <c r="E17" s="1" t="s">
        <v>4</v>
      </c>
      <c r="F17" s="1" t="s">
        <v>4</v>
      </c>
      <c r="G17" s="1" t="s">
        <v>4</v>
      </c>
      <c r="H17" s="1" t="s">
        <v>4</v>
      </c>
      <c r="I17" s="1" t="s">
        <v>4</v>
      </c>
      <c r="J17" s="1" t="s">
        <v>4</v>
      </c>
      <c r="K17" s="1" t="s">
        <v>5</v>
      </c>
      <c r="L17" s="1" t="s">
        <v>4</v>
      </c>
      <c r="M17" s="1" t="s">
        <v>4</v>
      </c>
      <c r="N17" s="1" t="s">
        <v>4</v>
      </c>
      <c r="O17" s="1" t="s">
        <v>5</v>
      </c>
    </row>
    <row r="18" spans="1:15" x14ac:dyDescent="0.35">
      <c r="A18" s="1" t="s">
        <v>21</v>
      </c>
      <c r="B18" s="9">
        <v>41522</v>
      </c>
      <c r="C18" s="1">
        <f t="shared" ca="1" si="0"/>
        <v>11</v>
      </c>
      <c r="D18" s="1" t="s">
        <v>4</v>
      </c>
      <c r="E18" s="1" t="s">
        <v>4</v>
      </c>
      <c r="F18" s="1" t="s">
        <v>4</v>
      </c>
      <c r="G18" s="1" t="s">
        <v>4</v>
      </c>
      <c r="H18" s="1" t="s">
        <v>4</v>
      </c>
      <c r="I18" s="1" t="s">
        <v>4</v>
      </c>
      <c r="J18" s="1" t="s">
        <v>4</v>
      </c>
      <c r="K18" s="1" t="s">
        <v>6</v>
      </c>
      <c r="L18" s="1" t="s">
        <v>4</v>
      </c>
      <c r="M18" s="1" t="s">
        <v>4</v>
      </c>
      <c r="N18" s="1" t="s">
        <v>4</v>
      </c>
      <c r="O18" s="1" t="s">
        <v>5</v>
      </c>
    </row>
    <row r="19" spans="1:15" x14ac:dyDescent="0.35">
      <c r="B19"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A77B-3E6F-458A-B7F1-EDB186F088D2}">
  <dimension ref="A1:D13"/>
  <sheetViews>
    <sheetView topLeftCell="A2" workbookViewId="0">
      <selection activeCell="B7" sqref="B7"/>
    </sheetView>
  </sheetViews>
  <sheetFormatPr defaultRowHeight="14.5" x14ac:dyDescent="0.35"/>
  <cols>
    <col min="1" max="1" width="17.54296875" style="1" bestFit="1" customWidth="1"/>
    <col min="2" max="2" width="11.1796875" style="1" customWidth="1"/>
    <col min="3" max="3" width="10.7265625" style="1" customWidth="1"/>
    <col min="4" max="4" width="11.6328125" style="1" customWidth="1"/>
    <col min="5" max="16384" width="8.7265625" style="1"/>
  </cols>
  <sheetData>
    <row r="1" spans="1:4" x14ac:dyDescent="0.35">
      <c r="A1" s="2" t="s">
        <v>39</v>
      </c>
      <c r="B1" s="2" t="s">
        <v>40</v>
      </c>
      <c r="C1" s="2" t="s">
        <v>41</v>
      </c>
      <c r="D1" s="2" t="s">
        <v>42</v>
      </c>
    </row>
    <row r="2" spans="1:4" ht="15" thickBot="1" x14ac:dyDescent="0.4">
      <c r="A2" s="10" t="s">
        <v>3</v>
      </c>
      <c r="B2" s="1">
        <f>COUNTIF('Kid''s Care Data'!D2:D18, "Yes")</f>
        <v>17</v>
      </c>
      <c r="C2" s="1">
        <f>COUNTIF('Kid''s Care Data'!D2:D18, "No")</f>
        <v>0</v>
      </c>
      <c r="D2" s="1">
        <f>COUNTIF('Kid''s Care Data'!D2:D18, "N/A")</f>
        <v>0</v>
      </c>
    </row>
    <row r="3" spans="1:4" ht="29.5" thickBot="1" x14ac:dyDescent="0.4">
      <c r="A3" s="11" t="s">
        <v>23</v>
      </c>
      <c r="B3" s="1">
        <f>COUNTIF('Kid''s Care Data'!E2:E18, "Yes")</f>
        <v>17</v>
      </c>
      <c r="C3" s="1">
        <f>COUNTIF('Kid''s Care Data'!E2:E18, "No")</f>
        <v>0</v>
      </c>
      <c r="D3" s="1">
        <f>COUNTIF('Kid''s Care Data'!E2:E18, "N/A")</f>
        <v>0</v>
      </c>
    </row>
    <row r="4" spans="1:4" ht="29.5" thickBot="1" x14ac:dyDescent="0.4">
      <c r="A4" s="11" t="s">
        <v>24</v>
      </c>
      <c r="B4" s="1">
        <f>COUNTIF('Kid''s Care Data'!F2:F18, "Yes")</f>
        <v>17</v>
      </c>
      <c r="C4" s="1">
        <f>COUNTIF('Kid''s Care Data'!F2:F18, "No")</f>
        <v>0</v>
      </c>
      <c r="D4" s="1">
        <f>COUNTIF('Kid''s Care Data'!F2:F18, "N/A")</f>
        <v>0</v>
      </c>
    </row>
    <row r="5" spans="1:4" ht="44" thickBot="1" x14ac:dyDescent="0.4">
      <c r="A5" s="11" t="s">
        <v>25</v>
      </c>
      <c r="B5" s="1">
        <f>COUNTIF('Kid''s Care Data'!G2:G18, "Yes")</f>
        <v>17</v>
      </c>
      <c r="C5" s="1">
        <f>COUNTIF('Kid''s Care Data'!G2:G18, "No")</f>
        <v>0</v>
      </c>
      <c r="D5" s="1">
        <f>COUNTIF('Kid''s Care Data'!G2:G18, "N/A")</f>
        <v>0</v>
      </c>
    </row>
    <row r="6" spans="1:4" ht="29.5" thickBot="1" x14ac:dyDescent="0.4">
      <c r="A6" s="11" t="s">
        <v>26</v>
      </c>
      <c r="B6" s="1">
        <f>COUNTIF('Kid''s Care Data'!H2:H18, "Yes")</f>
        <v>14</v>
      </c>
      <c r="C6" s="1">
        <f>COUNTIF('Kid''s Care Data'!H2:H18, "No")</f>
        <v>3</v>
      </c>
      <c r="D6" s="1">
        <f>COUNTIF('Kid''s Care Data'!H2:H18, "N/A")</f>
        <v>0</v>
      </c>
    </row>
    <row r="7" spans="1:4" ht="15" thickBot="1" x14ac:dyDescent="0.4">
      <c r="A7" s="11" t="s">
        <v>27</v>
      </c>
      <c r="B7" s="1">
        <f>COUNTIF('Kid''s Care Data'!I2:I18, "Yes")</f>
        <v>16</v>
      </c>
      <c r="C7" s="1">
        <f>COUNTIF('Kid''s Care Data'!I2:I18, "No")</f>
        <v>1</v>
      </c>
      <c r="D7" s="1">
        <f>COUNTIF('Kid''s Care Data'!I2:I18, "N/A")</f>
        <v>0</v>
      </c>
    </row>
    <row r="8" spans="1:4" ht="44" thickBot="1" x14ac:dyDescent="0.4">
      <c r="A8" s="11" t="s">
        <v>28</v>
      </c>
      <c r="B8" s="1">
        <f>COUNTIF('Kid''s Care Data'!J2:J18, "Yes")</f>
        <v>17</v>
      </c>
      <c r="C8" s="1">
        <f>COUNTIF('Kid''s Care Data'!J2:J18, "No")</f>
        <v>0</v>
      </c>
      <c r="D8" s="1">
        <f>COUNTIF('Kid''s Care Data'!J2:J18, "N/A")</f>
        <v>0</v>
      </c>
    </row>
    <row r="9" spans="1:4" ht="29.5" thickBot="1" x14ac:dyDescent="0.4">
      <c r="A9" s="11" t="s">
        <v>29</v>
      </c>
      <c r="B9" s="1">
        <f>COUNTIF('Kid''s Care Data'!K2:K18, "Yes")</f>
        <v>0</v>
      </c>
      <c r="C9" s="1">
        <f>COUNTIF('Kid''s Care Data'!K2:K18, "No")</f>
        <v>9</v>
      </c>
      <c r="D9" s="1">
        <f>COUNTIF('Kid''s Care Data'!K2:K18, "N/A")</f>
        <v>8</v>
      </c>
    </row>
    <row r="10" spans="1:4" ht="44" thickBot="1" x14ac:dyDescent="0.4">
      <c r="A10" s="11" t="s">
        <v>30</v>
      </c>
      <c r="B10" s="1">
        <f>COUNTIF('Kid''s Care Data'!L2:L18, "Yes")</f>
        <v>17</v>
      </c>
      <c r="C10" s="1">
        <f>COUNTIF('Kid''s Care Data'!L2:L18, "No")</f>
        <v>0</v>
      </c>
      <c r="D10" s="1">
        <f>COUNTIF('Kid''s Care Data'!L2:L18, "N/A")</f>
        <v>0</v>
      </c>
    </row>
    <row r="11" spans="1:4" ht="15" thickBot="1" x14ac:dyDescent="0.4">
      <c r="A11" s="11" t="s">
        <v>31</v>
      </c>
      <c r="B11" s="1">
        <f>COUNTIF('Kid''s Care Data'!M2:M18, "Yes")</f>
        <v>14</v>
      </c>
      <c r="C11" s="1">
        <f>COUNTIF('Kid''s Care Data'!M2:M18, "No")</f>
        <v>0</v>
      </c>
      <c r="D11" s="1">
        <f>COUNTIF('Kid''s Care Data'!M2:M18, "N/A")</f>
        <v>3</v>
      </c>
    </row>
    <row r="12" spans="1:4" ht="15" thickBot="1" x14ac:dyDescent="0.4">
      <c r="A12" s="11" t="s">
        <v>32</v>
      </c>
      <c r="B12" s="1">
        <f>COUNTIF('Kid''s Care Data'!N2:N18, "Yes")</f>
        <v>17</v>
      </c>
      <c r="C12" s="1">
        <f>COUNTIF('Kid''s Care Data'!N2:N18, "No")</f>
        <v>0</v>
      </c>
      <c r="D12" s="1">
        <f>COUNTIF('Kid''s Care Data'!N2:N18, "N/A")</f>
        <v>0</v>
      </c>
    </row>
    <row r="13" spans="1:4" ht="29.5" thickBot="1" x14ac:dyDescent="0.4">
      <c r="A13" s="11" t="s">
        <v>33</v>
      </c>
      <c r="B13" s="1">
        <f>COUNTIF('Kid''s Care Data'!O2:O18, "Yes")</f>
        <v>3</v>
      </c>
      <c r="C13" s="1">
        <f>COUNTIF('Kid''s Care Data'!O2:O18, "No")</f>
        <v>2</v>
      </c>
      <c r="D13" s="1">
        <f>COUNTIF('Kid''s Care Data'!O2:O18, "N/A")</f>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C00C9-C937-4BE6-A3EF-5B1D264512AC}">
  <dimension ref="A3:B16"/>
  <sheetViews>
    <sheetView topLeftCell="A2" workbookViewId="0">
      <selection activeCell="B12" sqref="B12"/>
    </sheetView>
  </sheetViews>
  <sheetFormatPr defaultRowHeight="14.5" x14ac:dyDescent="0.35"/>
  <cols>
    <col min="1" max="1" width="31.08984375" bestFit="1" customWidth="1"/>
    <col min="2" max="2" width="15.54296875" bestFit="1" customWidth="1"/>
  </cols>
  <sheetData>
    <row r="3" spans="1:2" x14ac:dyDescent="0.35">
      <c r="A3" s="6" t="s">
        <v>34</v>
      </c>
      <c r="B3" t="s">
        <v>43</v>
      </c>
    </row>
    <row r="4" spans="1:2" x14ac:dyDescent="0.35">
      <c r="A4" s="7" t="s">
        <v>27</v>
      </c>
      <c r="B4">
        <v>16</v>
      </c>
    </row>
    <row r="5" spans="1:2" x14ac:dyDescent="0.35">
      <c r="A5" s="7" t="s">
        <v>3</v>
      </c>
      <c r="B5">
        <v>17</v>
      </c>
    </row>
    <row r="6" spans="1:2" x14ac:dyDescent="0.35">
      <c r="A6" s="7" t="s">
        <v>23</v>
      </c>
      <c r="B6">
        <v>17</v>
      </c>
    </row>
    <row r="7" spans="1:2" x14ac:dyDescent="0.35">
      <c r="A7" s="7" t="s">
        <v>32</v>
      </c>
      <c r="B7">
        <v>17</v>
      </c>
    </row>
    <row r="8" spans="1:2" x14ac:dyDescent="0.35">
      <c r="A8" s="7" t="s">
        <v>24</v>
      </c>
      <c r="B8">
        <v>17</v>
      </c>
    </row>
    <row r="9" spans="1:2" x14ac:dyDescent="0.35">
      <c r="A9" s="7" t="s">
        <v>31</v>
      </c>
      <c r="B9">
        <v>14</v>
      </c>
    </row>
    <row r="10" spans="1:2" x14ac:dyDescent="0.35">
      <c r="A10" s="7" t="s">
        <v>30</v>
      </c>
      <c r="B10">
        <v>17</v>
      </c>
    </row>
    <row r="11" spans="1:2" x14ac:dyDescent="0.35">
      <c r="A11" s="7" t="s">
        <v>25</v>
      </c>
      <c r="B11">
        <v>17</v>
      </c>
    </row>
    <row r="12" spans="1:2" x14ac:dyDescent="0.35">
      <c r="A12" s="7" t="s">
        <v>33</v>
      </c>
      <c r="B12">
        <v>3</v>
      </c>
    </row>
    <row r="13" spans="1:2" x14ac:dyDescent="0.35">
      <c r="A13" s="7" t="s">
        <v>29</v>
      </c>
      <c r="B13">
        <v>0</v>
      </c>
    </row>
    <row r="14" spans="1:2" x14ac:dyDescent="0.35">
      <c r="A14" s="7" t="s">
        <v>26</v>
      </c>
      <c r="B14">
        <v>14</v>
      </c>
    </row>
    <row r="15" spans="1:2" x14ac:dyDescent="0.35">
      <c r="A15" s="7" t="s">
        <v>28</v>
      </c>
      <c r="B15">
        <v>17</v>
      </c>
    </row>
    <row r="16" spans="1:2" x14ac:dyDescent="0.35">
      <c r="A16" s="7" t="s">
        <v>35</v>
      </c>
      <c r="B16">
        <v>166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0EF8-2CD2-4440-8BAB-282BBD9F1117}">
  <dimension ref="A3:D16"/>
  <sheetViews>
    <sheetView workbookViewId="0">
      <selection activeCell="D3" sqref="D3"/>
    </sheetView>
  </sheetViews>
  <sheetFormatPr defaultRowHeight="14.5" x14ac:dyDescent="0.35"/>
  <cols>
    <col min="1" max="1" width="31.08984375" bestFit="1" customWidth="1"/>
    <col min="2" max="2" width="3.81640625" bestFit="1" customWidth="1"/>
    <col min="3" max="3" width="4.08984375" bestFit="1" customWidth="1"/>
    <col min="4" max="4" width="3.1796875" bestFit="1" customWidth="1"/>
  </cols>
  <sheetData>
    <row r="3" spans="1:4" x14ac:dyDescent="0.35">
      <c r="A3" s="6" t="s">
        <v>34</v>
      </c>
      <c r="B3" t="s">
        <v>4</v>
      </c>
      <c r="C3" t="s">
        <v>6</v>
      </c>
      <c r="D3" t="s">
        <v>5</v>
      </c>
    </row>
    <row r="4" spans="1:4" x14ac:dyDescent="0.35">
      <c r="A4" s="7" t="s">
        <v>27</v>
      </c>
      <c r="B4">
        <v>16</v>
      </c>
      <c r="C4">
        <v>0</v>
      </c>
      <c r="D4">
        <v>1</v>
      </c>
    </row>
    <row r="5" spans="1:4" x14ac:dyDescent="0.35">
      <c r="A5" s="7" t="s">
        <v>3</v>
      </c>
      <c r="B5">
        <v>17</v>
      </c>
      <c r="C5">
        <v>0</v>
      </c>
      <c r="D5">
        <v>0</v>
      </c>
    </row>
    <row r="6" spans="1:4" x14ac:dyDescent="0.35">
      <c r="A6" s="7" t="s">
        <v>23</v>
      </c>
      <c r="B6">
        <v>17</v>
      </c>
      <c r="C6">
        <v>0</v>
      </c>
      <c r="D6">
        <v>0</v>
      </c>
    </row>
    <row r="7" spans="1:4" x14ac:dyDescent="0.35">
      <c r="A7" s="7" t="s">
        <v>32</v>
      </c>
      <c r="B7">
        <v>17</v>
      </c>
      <c r="C7">
        <v>0</v>
      </c>
      <c r="D7">
        <v>0</v>
      </c>
    </row>
    <row r="8" spans="1:4" x14ac:dyDescent="0.35">
      <c r="A8" s="7" t="s">
        <v>24</v>
      </c>
      <c r="B8">
        <v>17</v>
      </c>
      <c r="C8">
        <v>0</v>
      </c>
      <c r="D8">
        <v>0</v>
      </c>
    </row>
    <row r="9" spans="1:4" x14ac:dyDescent="0.35">
      <c r="A9" s="7" t="s">
        <v>31</v>
      </c>
      <c r="B9">
        <v>14</v>
      </c>
      <c r="C9">
        <v>3</v>
      </c>
      <c r="D9">
        <v>0</v>
      </c>
    </row>
    <row r="10" spans="1:4" x14ac:dyDescent="0.35">
      <c r="A10" s="7" t="s">
        <v>30</v>
      </c>
      <c r="B10">
        <v>17</v>
      </c>
      <c r="C10">
        <v>0</v>
      </c>
      <c r="D10">
        <v>0</v>
      </c>
    </row>
    <row r="11" spans="1:4" x14ac:dyDescent="0.35">
      <c r="A11" s="7" t="s">
        <v>25</v>
      </c>
      <c r="B11">
        <v>17</v>
      </c>
      <c r="C11">
        <v>0</v>
      </c>
      <c r="D11">
        <v>0</v>
      </c>
    </row>
    <row r="12" spans="1:4" x14ac:dyDescent="0.35">
      <c r="A12" s="7" t="s">
        <v>33</v>
      </c>
      <c r="B12">
        <v>3</v>
      </c>
      <c r="C12">
        <v>12</v>
      </c>
      <c r="D12">
        <v>2</v>
      </c>
    </row>
    <row r="13" spans="1:4" x14ac:dyDescent="0.35">
      <c r="A13" s="7" t="s">
        <v>29</v>
      </c>
      <c r="B13">
        <v>0</v>
      </c>
      <c r="C13">
        <v>8</v>
      </c>
      <c r="D13">
        <v>9</v>
      </c>
    </row>
    <row r="14" spans="1:4" x14ac:dyDescent="0.35">
      <c r="A14" s="7" t="s">
        <v>26</v>
      </c>
      <c r="B14">
        <v>14</v>
      </c>
      <c r="C14">
        <v>0</v>
      </c>
      <c r="D14">
        <v>3</v>
      </c>
    </row>
    <row r="15" spans="1:4" x14ac:dyDescent="0.35">
      <c r="A15" s="7" t="s">
        <v>28</v>
      </c>
      <c r="B15">
        <v>17</v>
      </c>
      <c r="C15">
        <v>0</v>
      </c>
      <c r="D15">
        <v>0</v>
      </c>
    </row>
    <row r="16" spans="1:4" x14ac:dyDescent="0.35">
      <c r="A16" s="7" t="s">
        <v>35</v>
      </c>
      <c r="B16">
        <v>166</v>
      </c>
      <c r="C16">
        <v>23</v>
      </c>
      <c r="D16">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CF72F-4250-489B-B664-F4918D4E91B1}">
  <dimension ref="A3:D16"/>
  <sheetViews>
    <sheetView workbookViewId="0">
      <selection activeCell="A16" sqref="A16"/>
    </sheetView>
  </sheetViews>
  <sheetFormatPr defaultRowHeight="14.5" x14ac:dyDescent="0.35"/>
  <cols>
    <col min="1" max="1" width="31.08984375" bestFit="1" customWidth="1"/>
    <col min="2" max="3" width="4.08984375" bestFit="1" customWidth="1"/>
    <col min="4" max="4" width="3.1796875" bestFit="1" customWidth="1"/>
  </cols>
  <sheetData>
    <row r="3" spans="1:4" x14ac:dyDescent="0.35">
      <c r="A3" s="6" t="s">
        <v>34</v>
      </c>
      <c r="B3" t="s">
        <v>44</v>
      </c>
      <c r="C3" t="s">
        <v>6</v>
      </c>
      <c r="D3" t="s">
        <v>5</v>
      </c>
    </row>
    <row r="4" spans="1:4" x14ac:dyDescent="0.35">
      <c r="A4" s="7" t="s">
        <v>27</v>
      </c>
      <c r="B4">
        <v>16</v>
      </c>
      <c r="C4">
        <v>0</v>
      </c>
      <c r="D4">
        <v>1</v>
      </c>
    </row>
    <row r="5" spans="1:4" x14ac:dyDescent="0.35">
      <c r="A5" s="7" t="s">
        <v>3</v>
      </c>
      <c r="B5">
        <v>17</v>
      </c>
      <c r="C5">
        <v>0</v>
      </c>
      <c r="D5">
        <v>0</v>
      </c>
    </row>
    <row r="6" spans="1:4" x14ac:dyDescent="0.35">
      <c r="A6" s="7" t="s">
        <v>23</v>
      </c>
      <c r="B6">
        <v>17</v>
      </c>
      <c r="C6">
        <v>0</v>
      </c>
      <c r="D6">
        <v>0</v>
      </c>
    </row>
    <row r="7" spans="1:4" x14ac:dyDescent="0.35">
      <c r="A7" s="7" t="s">
        <v>32</v>
      </c>
      <c r="B7">
        <v>17</v>
      </c>
      <c r="C7">
        <v>0</v>
      </c>
      <c r="D7">
        <v>0</v>
      </c>
    </row>
    <row r="8" spans="1:4" x14ac:dyDescent="0.35">
      <c r="A8" s="7" t="s">
        <v>24</v>
      </c>
      <c r="B8">
        <v>17</v>
      </c>
      <c r="C8">
        <v>0</v>
      </c>
      <c r="D8">
        <v>0</v>
      </c>
    </row>
    <row r="9" spans="1:4" x14ac:dyDescent="0.35">
      <c r="A9" s="7" t="s">
        <v>31</v>
      </c>
      <c r="B9">
        <v>14</v>
      </c>
      <c r="C9">
        <v>3</v>
      </c>
      <c r="D9">
        <v>0</v>
      </c>
    </row>
    <row r="10" spans="1:4" x14ac:dyDescent="0.35">
      <c r="A10" s="7" t="s">
        <v>30</v>
      </c>
      <c r="B10">
        <v>17</v>
      </c>
      <c r="C10">
        <v>0</v>
      </c>
      <c r="D10">
        <v>0</v>
      </c>
    </row>
    <row r="11" spans="1:4" x14ac:dyDescent="0.35">
      <c r="A11" s="7" t="s">
        <v>25</v>
      </c>
      <c r="B11">
        <v>17</v>
      </c>
      <c r="C11">
        <v>0</v>
      </c>
      <c r="D11">
        <v>0</v>
      </c>
    </row>
    <row r="12" spans="1:4" x14ac:dyDescent="0.35">
      <c r="A12" s="7" t="s">
        <v>33</v>
      </c>
      <c r="B12">
        <v>3</v>
      </c>
      <c r="C12">
        <v>12</v>
      </c>
      <c r="D12">
        <v>2</v>
      </c>
    </row>
    <row r="13" spans="1:4" x14ac:dyDescent="0.35">
      <c r="A13" s="7" t="s">
        <v>29</v>
      </c>
      <c r="B13">
        <v>0</v>
      </c>
      <c r="C13">
        <v>8</v>
      </c>
      <c r="D13">
        <v>9</v>
      </c>
    </row>
    <row r="14" spans="1:4" x14ac:dyDescent="0.35">
      <c r="A14" s="7" t="s">
        <v>26</v>
      </c>
      <c r="B14">
        <v>14</v>
      </c>
      <c r="C14">
        <v>0</v>
      </c>
      <c r="D14">
        <v>3</v>
      </c>
    </row>
    <row r="15" spans="1:4" x14ac:dyDescent="0.35">
      <c r="A15" s="7" t="s">
        <v>28</v>
      </c>
      <c r="B15">
        <v>17</v>
      </c>
      <c r="C15">
        <v>0</v>
      </c>
      <c r="D15">
        <v>0</v>
      </c>
    </row>
    <row r="16" spans="1:4" x14ac:dyDescent="0.35">
      <c r="A16" s="7" t="s">
        <v>35</v>
      </c>
      <c r="B16">
        <v>166</v>
      </c>
      <c r="C16">
        <v>23</v>
      </c>
      <c r="D16">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A94D-EC81-446C-BA8C-09313923AB0E}">
  <dimension ref="A3:B16"/>
  <sheetViews>
    <sheetView workbookViewId="0">
      <selection activeCell="A3" sqref="A3"/>
    </sheetView>
  </sheetViews>
  <sheetFormatPr defaultRowHeight="14.5" x14ac:dyDescent="0.35"/>
  <cols>
    <col min="1" max="1" width="31.08984375" bestFit="1" customWidth="1"/>
    <col min="2" max="2" width="15.54296875" bestFit="1" customWidth="1"/>
    <col min="3" max="3" width="1.81640625" bestFit="1" customWidth="1"/>
    <col min="4" max="6" width="2.81640625" bestFit="1" customWidth="1"/>
    <col min="7" max="7" width="10.7265625" bestFit="1" customWidth="1"/>
  </cols>
  <sheetData>
    <row r="3" spans="1:2" x14ac:dyDescent="0.35">
      <c r="A3" s="6" t="s">
        <v>34</v>
      </c>
      <c r="B3" t="s">
        <v>43</v>
      </c>
    </row>
    <row r="4" spans="1:2" x14ac:dyDescent="0.35">
      <c r="A4" s="7" t="s">
        <v>27</v>
      </c>
      <c r="B4">
        <v>16</v>
      </c>
    </row>
    <row r="5" spans="1:2" x14ac:dyDescent="0.35">
      <c r="A5" s="7" t="s">
        <v>3</v>
      </c>
      <c r="B5">
        <v>17</v>
      </c>
    </row>
    <row r="6" spans="1:2" x14ac:dyDescent="0.35">
      <c r="A6" s="7" t="s">
        <v>23</v>
      </c>
      <c r="B6">
        <v>17</v>
      </c>
    </row>
    <row r="7" spans="1:2" x14ac:dyDescent="0.35">
      <c r="A7" s="7" t="s">
        <v>32</v>
      </c>
      <c r="B7">
        <v>17</v>
      </c>
    </row>
    <row r="8" spans="1:2" x14ac:dyDescent="0.35">
      <c r="A8" s="7" t="s">
        <v>24</v>
      </c>
      <c r="B8">
        <v>17</v>
      </c>
    </row>
    <row r="9" spans="1:2" x14ac:dyDescent="0.35">
      <c r="A9" s="7" t="s">
        <v>31</v>
      </c>
      <c r="B9">
        <v>14</v>
      </c>
    </row>
    <row r="10" spans="1:2" x14ac:dyDescent="0.35">
      <c r="A10" s="7" t="s">
        <v>30</v>
      </c>
      <c r="B10">
        <v>17</v>
      </c>
    </row>
    <row r="11" spans="1:2" x14ac:dyDescent="0.35">
      <c r="A11" s="7" t="s">
        <v>25</v>
      </c>
      <c r="B11">
        <v>17</v>
      </c>
    </row>
    <row r="12" spans="1:2" x14ac:dyDescent="0.35">
      <c r="A12" s="7" t="s">
        <v>33</v>
      </c>
      <c r="B12">
        <v>3</v>
      </c>
    </row>
    <row r="13" spans="1:2" x14ac:dyDescent="0.35">
      <c r="A13" s="7" t="s">
        <v>29</v>
      </c>
      <c r="B13">
        <v>0</v>
      </c>
    </row>
    <row r="14" spans="1:2" x14ac:dyDescent="0.35">
      <c r="A14" s="7" t="s">
        <v>26</v>
      </c>
      <c r="B14">
        <v>14</v>
      </c>
    </row>
    <row r="15" spans="1:2" x14ac:dyDescent="0.35">
      <c r="A15" s="7" t="s">
        <v>28</v>
      </c>
      <c r="B15">
        <v>17</v>
      </c>
    </row>
    <row r="16" spans="1:2" x14ac:dyDescent="0.35">
      <c r="A16" s="7" t="s">
        <v>35</v>
      </c>
      <c r="B16">
        <v>166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F2B98-02F7-42ED-8117-2E511D503927}">
  <dimension ref="A3:B6"/>
  <sheetViews>
    <sheetView workbookViewId="0">
      <selection activeCell="A3" sqref="A3"/>
    </sheetView>
  </sheetViews>
  <sheetFormatPr defaultRowHeight="14.5" x14ac:dyDescent="0.35"/>
  <cols>
    <col min="1" max="1" width="12.36328125" bestFit="1" customWidth="1"/>
    <col min="2" max="2" width="29.6328125" bestFit="1" customWidth="1"/>
    <col min="3" max="4" width="10.7265625" bestFit="1" customWidth="1"/>
  </cols>
  <sheetData>
    <row r="3" spans="1:2" x14ac:dyDescent="0.35">
      <c r="A3" s="6" t="s">
        <v>34</v>
      </c>
      <c r="B3" t="s">
        <v>36</v>
      </c>
    </row>
    <row r="4" spans="1:2" x14ac:dyDescent="0.35">
      <c r="A4" s="7" t="s">
        <v>5</v>
      </c>
      <c r="B4">
        <v>3</v>
      </c>
    </row>
    <row r="5" spans="1:2" x14ac:dyDescent="0.35">
      <c r="A5" s="7" t="s">
        <v>4</v>
      </c>
      <c r="B5">
        <v>14</v>
      </c>
    </row>
    <row r="6" spans="1:2" x14ac:dyDescent="0.35">
      <c r="A6" s="7" t="s">
        <v>35</v>
      </c>
      <c r="B6">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4DE7AA-2A05-407D-926A-614FAC6F64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1</vt:i4>
      </vt:variant>
    </vt:vector>
  </HeadingPairs>
  <TitlesOfParts>
    <vt:vector size="10" baseType="lpstr">
      <vt:lpstr>Dashboard</vt:lpstr>
      <vt:lpstr>KidsCare</vt:lpstr>
      <vt:lpstr>Kid's Care Data</vt:lpstr>
      <vt:lpstr>COUNTIF Data Sheet</vt:lpstr>
      <vt:lpstr>Trends In Form Completion</vt:lpstr>
      <vt:lpstr>Referral Completion Overview</vt:lpstr>
      <vt:lpstr>Response Distribution Per Form</vt:lpstr>
      <vt:lpstr>Form Completion Summary</vt:lpstr>
      <vt:lpstr>Immunization Status Distributio</vt:lpstr>
      <vt:lpstr>Immunization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2015-06-05T18:17:20Z</dcterms:created>
  <dcterms:modified xsi:type="dcterms:W3CDTF">2025-07-31T21:51:55Z</dcterms:modified>
</cp:coreProperties>
</file>