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8EA51C36-3F4F-4F7D-A08D-76D920EE57BB}" xr6:coauthVersionLast="47" xr6:coauthVersionMax="47" xr10:uidLastSave="{00000000-0000-0000-0000-000000000000}"/>
  <bookViews>
    <workbookView xWindow="-110" yWindow="-110" windowWidth="19420" windowHeight="10300" firstSheet="2" activeTab="2" xr2:uid="{836A97B7-95D8-4F5F-A855-9FC4EBD14E57}"/>
  </bookViews>
  <sheets>
    <sheet name="Original Env. Census Data" sheetId="1" state="hidden" r:id="rId1"/>
    <sheet name="EnvCensus" sheetId="7" r:id="rId2"/>
    <sheet name="Dashboard" sheetId="2" r:id="rId3"/>
    <sheet name="Monthly Breakdown of Top 3 Insp" sheetId="8" r:id="rId4"/>
    <sheet name="Total Inspections Per Month" sheetId="9" r:id="rId5"/>
    <sheet name="Proportion of Inspection Types " sheetId="10" r:id="rId6"/>
    <sheet name="Trend in Total Monthly Inspecti" sheetId="11" r:id="rId7"/>
    <sheet name="Monthly Totals for Most Common " sheetId="13" r:id="rId8"/>
  </sheets>
  <definedNames>
    <definedName name="ExternalData_1" localSheetId="1" hidden="1">EnvCensus!$A$1:$E$133</definedName>
    <definedName name="Slicer_Inspection_Type">#N/A</definedName>
    <definedName name="Slice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DD9F1A-ABB8-481E-8D42-16A7C17F0C78}" keepAlive="1" name="Query - EnvCensus" description="Connection to the 'EnvCensus' query in the workbook." type="5" refreshedVersion="8" background="1" saveData="1">
    <dbPr connection="Provider=Microsoft.Mashup.OleDb.1;Data Source=$Workbook$;Location=EnvCensus;Extended Properties=&quot;&quot;" command="SELECT * FROM [EnvCensus]"/>
  </connection>
</connections>
</file>

<file path=xl/sharedStrings.xml><?xml version="1.0" encoding="utf-8"?>
<sst xmlns="http://schemas.openxmlformats.org/spreadsheetml/2006/main" count="380" uniqueCount="32">
  <si>
    <t>Inspection Type</t>
  </si>
  <si>
    <t>SEP</t>
  </si>
  <si>
    <t>OCT</t>
  </si>
  <si>
    <t>NOV</t>
  </si>
  <si>
    <t>DEC</t>
  </si>
  <si>
    <t>JAN</t>
  </si>
  <si>
    <t>FEB</t>
  </si>
  <si>
    <t>MAR</t>
  </si>
  <si>
    <t>APR</t>
  </si>
  <si>
    <t>MAY</t>
  </si>
  <si>
    <t>JUN</t>
  </si>
  <si>
    <t>JULY</t>
  </si>
  <si>
    <t>AUG</t>
  </si>
  <si>
    <t>YTD Total</t>
  </si>
  <si>
    <t>Pool/Spa</t>
  </si>
  <si>
    <t>Tanning</t>
  </si>
  <si>
    <t>Retail Food Establishment</t>
  </si>
  <si>
    <t>Commercial Lodging</t>
  </si>
  <si>
    <t>Tattoo/Permanent Cosmetics</t>
  </si>
  <si>
    <t>Follow Up</t>
  </si>
  <si>
    <t>Environmental Inspection</t>
  </si>
  <si>
    <t>Temporary and Special Events</t>
  </si>
  <si>
    <t>School Building Inspection</t>
  </si>
  <si>
    <t>Daycare Facility Inspection</t>
  </si>
  <si>
    <t>Complaints</t>
  </si>
  <si>
    <t>Month</t>
  </si>
  <si>
    <t>Count</t>
  </si>
  <si>
    <t>Row Labels</t>
  </si>
  <si>
    <t>Grand Total</t>
  </si>
  <si>
    <t>Column Labels</t>
  </si>
  <si>
    <t>Sum of Count</t>
  </si>
  <si>
    <t>MonthNumber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</si>
</sst>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0" xfId="0" pivotButton="1"/>
    <xf numFmtId="0" fontId="0" fillId="0" borderId="0" xfId="0" applyAlignment="1">
      <alignment horizontal="left"/>
    </xf>
  </cellXfs>
  <cellStyles count="1">
    <cellStyle name="Normal" xfId="0" builtinId="0"/>
  </cellStyles>
  <dxfs count="21">
    <dxf>
      <numFmt numFmtId="0" formatCode="General"/>
    </dxf>
    <dxf>
      <numFmt numFmtId="0" formatCode="General"/>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00"/>
      <color rgb="FFCC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FY25-26 Env Census Data.xlsx]Total Inspections Per Month!PivotTable12</c:name>
    <c:fmtId val="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Total Inspections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Inspections Per Month'!$B$3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'Total Inspections Per Month'!$A$4:$A$16</c:f>
              <c:strCache>
                <c:ptCount val="12"/>
                <c:pt idx="0">
                  <c:v>JAN</c:v>
                </c:pt>
                <c:pt idx="1">
                  <c:v>FEB</c:v>
                </c:pt>
                <c:pt idx="2">
                  <c:v>MAR</c:v>
                </c:pt>
                <c:pt idx="3">
                  <c:v>APR</c:v>
                </c:pt>
                <c:pt idx="4">
                  <c:v>MAY</c:v>
                </c:pt>
                <c:pt idx="5">
                  <c:v>JUN</c:v>
                </c:pt>
                <c:pt idx="6">
                  <c:v>JULY</c:v>
                </c:pt>
                <c:pt idx="7">
                  <c:v>AUG</c:v>
                </c:pt>
                <c:pt idx="8">
                  <c:v>SEP</c:v>
                </c:pt>
                <c:pt idx="9">
                  <c:v>OCT</c:v>
                </c:pt>
                <c:pt idx="10">
                  <c:v>NOV</c:v>
                </c:pt>
                <c:pt idx="11">
                  <c:v>DEC</c:v>
                </c:pt>
              </c:strCache>
            </c:strRef>
          </c:cat>
          <c:val>
            <c:numRef>
              <c:f>'Total Inspections Per Month'!$B$4:$B$16</c:f>
              <c:numCache>
                <c:formatCode>General</c:formatCode>
                <c:ptCount val="12"/>
                <c:pt idx="0">
                  <c:v>50</c:v>
                </c:pt>
                <c:pt idx="1">
                  <c:v>71</c:v>
                </c:pt>
                <c:pt idx="2">
                  <c:v>95</c:v>
                </c:pt>
                <c:pt idx="3">
                  <c:v>89</c:v>
                </c:pt>
                <c:pt idx="4">
                  <c:v>81</c:v>
                </c:pt>
                <c:pt idx="5">
                  <c:v>28</c:v>
                </c:pt>
                <c:pt idx="6">
                  <c:v>40</c:v>
                </c:pt>
                <c:pt idx="7">
                  <c:v>0</c:v>
                </c:pt>
                <c:pt idx="8">
                  <c:v>59</c:v>
                </c:pt>
                <c:pt idx="9">
                  <c:v>64</c:v>
                </c:pt>
                <c:pt idx="10">
                  <c:v>58</c:v>
                </c:pt>
                <c:pt idx="11">
                  <c:v>54</c:v>
                </c:pt>
              </c:numCache>
            </c:numRef>
          </c:val>
          <c:smooth val="0"/>
          <c:extLst>
            <c:ext xmlns:c16="http://schemas.microsoft.com/office/drawing/2014/chart" uri="{C3380CC4-5D6E-409C-BE32-E72D297353CC}">
              <c16:uniqueId val="{00000000-951F-4E8D-B665-EB9D823A6F2D}"/>
            </c:ext>
          </c:extLst>
        </c:ser>
        <c:dLbls>
          <c:showLegendKey val="0"/>
          <c:showVal val="0"/>
          <c:showCatName val="0"/>
          <c:showSerName val="0"/>
          <c:showPercent val="0"/>
          <c:showBubbleSize val="0"/>
        </c:dLbls>
        <c:marker val="1"/>
        <c:smooth val="0"/>
        <c:axId val="1432919840"/>
        <c:axId val="1432921760"/>
      </c:lineChart>
      <c:catAx>
        <c:axId val="143291984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2921760"/>
        <c:crosses val="autoZero"/>
        <c:auto val="1"/>
        <c:lblAlgn val="ctr"/>
        <c:lblOffset val="100"/>
        <c:noMultiLvlLbl val="0"/>
      </c:catAx>
      <c:valAx>
        <c:axId val="143292176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Total Inspections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29198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FY25-26 Env Census Data.xlsx]Trend in Total Monthly Inspecti!PivotTable14</c:name>
    <c:fmtId val="1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sz="1600">
                <a:solidFill>
                  <a:sysClr val="windowText" lastClr="000000"/>
                </a:solidFill>
              </a:rPr>
              <a:t>Total Monthly Inspections For</a:t>
            </a:r>
            <a:r>
              <a:rPr lang="en-US" sz="1600" baseline="0">
                <a:solidFill>
                  <a:sysClr val="windowText" lastClr="000000"/>
                </a:solidFill>
              </a:rPr>
              <a:t> Retail Food Establishment</a:t>
            </a:r>
            <a:endParaRPr lang="en-US" sz="1600">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in Total Monthly Inspecti'!$B$3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'Trend in Total Monthly Inspecti'!$A$4:$A$16</c:f>
              <c:strCache>
                <c:ptCount val="12"/>
                <c:pt idx="0">
                  <c:v>JAN</c:v>
                </c:pt>
                <c:pt idx="1">
                  <c:v>FEB</c:v>
                </c:pt>
                <c:pt idx="2">
                  <c:v>MAR</c:v>
                </c:pt>
                <c:pt idx="3">
                  <c:v>APR</c:v>
                </c:pt>
                <c:pt idx="4">
                  <c:v>MAY</c:v>
                </c:pt>
                <c:pt idx="5">
                  <c:v>JUN</c:v>
                </c:pt>
                <c:pt idx="6">
                  <c:v>JULY</c:v>
                </c:pt>
                <c:pt idx="7">
                  <c:v>AUG</c:v>
                </c:pt>
                <c:pt idx="8">
                  <c:v>SEP</c:v>
                </c:pt>
                <c:pt idx="9">
                  <c:v>OCT</c:v>
                </c:pt>
                <c:pt idx="10">
                  <c:v>NOV</c:v>
                </c:pt>
                <c:pt idx="11">
                  <c:v>DEC</c:v>
                </c:pt>
              </c:strCache>
            </c:strRef>
          </c:cat>
          <c:val>
            <c:numRef>
              <c:f>'Trend in Total Monthly Inspecti'!$B$4:$B$16</c:f>
              <c:numCache>
                <c:formatCode>General</c:formatCode>
                <c:ptCount val="12"/>
                <c:pt idx="0">
                  <c:v>40</c:v>
                </c:pt>
                <c:pt idx="1">
                  <c:v>50</c:v>
                </c:pt>
                <c:pt idx="2">
                  <c:v>57</c:v>
                </c:pt>
                <c:pt idx="3">
                  <c:v>39</c:v>
                </c:pt>
                <c:pt idx="4">
                  <c:v>9</c:v>
                </c:pt>
                <c:pt idx="5">
                  <c:v>8</c:v>
                </c:pt>
                <c:pt idx="6">
                  <c:v>9</c:v>
                </c:pt>
                <c:pt idx="7">
                  <c:v>0</c:v>
                </c:pt>
                <c:pt idx="8">
                  <c:v>32</c:v>
                </c:pt>
                <c:pt idx="9">
                  <c:v>21</c:v>
                </c:pt>
                <c:pt idx="10">
                  <c:v>34</c:v>
                </c:pt>
                <c:pt idx="11">
                  <c:v>23</c:v>
                </c:pt>
              </c:numCache>
            </c:numRef>
          </c:val>
          <c:smooth val="0"/>
          <c:extLst>
            <c:ext xmlns:c16="http://schemas.microsoft.com/office/drawing/2014/chart" uri="{C3380CC4-5D6E-409C-BE32-E72D297353CC}">
              <c16:uniqueId val="{00000000-227D-4E38-8E87-F8036C7408CD}"/>
            </c:ext>
          </c:extLst>
        </c:ser>
        <c:dLbls>
          <c:showLegendKey val="0"/>
          <c:showVal val="0"/>
          <c:showCatName val="0"/>
          <c:showSerName val="0"/>
          <c:showPercent val="0"/>
          <c:showBubbleSize val="0"/>
        </c:dLbls>
        <c:marker val="1"/>
        <c:smooth val="0"/>
        <c:axId val="1435269552"/>
        <c:axId val="1435270032"/>
      </c:lineChart>
      <c:catAx>
        <c:axId val="1435269552"/>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Month</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5270032"/>
        <c:crosses val="autoZero"/>
        <c:auto val="1"/>
        <c:lblAlgn val="ctr"/>
        <c:lblOffset val="100"/>
        <c:noMultiLvlLbl val="0"/>
      </c:catAx>
      <c:valAx>
        <c:axId val="14352700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Total Inspections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526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FY25-26 Env Census Data.xlsx]Monthly Breakdown of Top 3 Insp!PivotTable11</c:name>
    <c:fmtId val="1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Monthly Breakdown of Top 3 Inspection Types</a:t>
            </a:r>
          </a:p>
        </c:rich>
      </c:tx>
      <c:layout>
        <c:manualLayout>
          <c:xMode val="edge"/>
          <c:yMode val="edge"/>
          <c:x val="0.16175424649570214"/>
          <c:y val="2.1446855536345327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78502080443951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43759694797298E-3"/>
              <c:y val="-9.0494371993851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6687221612609602E-5"/>
              <c:y val="-3.598928577344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503466811808532E-2"/>
              <c:y val="-4.1620042872649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668906782325168E-2"/>
              <c:y val="-2.7746695248433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251680086743877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834453391162584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251680086743877E-2"/>
              <c:y val="2.31224281052903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417226695581292E-3"/>
              <c:y val="3.69957757295068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70861334779064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7920586869069045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2503360173487698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110531472594164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4.062920021685968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251680086743877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834453391162584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668906782325168E-2"/>
              <c:y val="-2.7746695248433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503466811808532E-2"/>
              <c:y val="-4.1620042872649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6687221612609602E-5"/>
              <c:y val="-3.598928577344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43759694797298E-3"/>
              <c:y val="-9.0494371993851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78502080443951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417226695581292E-3"/>
              <c:y val="3.69957757295068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251680086743877E-2"/>
              <c:y val="2.31224281052903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4.062920021685968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110531472594164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2503360173487698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7920586869069045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70861334779064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251680086743877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834453391162584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668906782325168E-2"/>
              <c:y val="-2.7746695248433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503466811808532E-2"/>
              <c:y val="-4.1620042872649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6687221612609602E-5"/>
              <c:y val="-3.598928577344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43759694797298E-3"/>
              <c:y val="-9.0494371993851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78502080443951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417226695581292E-3"/>
              <c:y val="3.69957757295068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251680086743877E-2"/>
              <c:y val="2.31224281052903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4.062920021685968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110531472594164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2503360173487698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7920586869069045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70861334779064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668906782325168E-2"/>
              <c:y val="-2.7746695248433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251680086743877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834453391162584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503466811808532E-2"/>
              <c:y val="-4.1620042872649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6687221612609602E-5"/>
              <c:y val="-3.598928577344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43759694797298E-3"/>
              <c:y val="-9.0494371993851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78502080443951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417226695581292E-3"/>
              <c:y val="3.69957757295068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251680086743877E-2"/>
              <c:y val="2.31224281052903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4.062920021685968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110531472594164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2503360173487698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7920586869069045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70861334779064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251680086743877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834453391162584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668906782325168E-2"/>
              <c:y val="-2.7746695248433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503466811808532E-2"/>
              <c:y val="-4.1620042872649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6687221612609602E-5"/>
              <c:y val="-3.598928577344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43759694797298E-3"/>
              <c:y val="-9.0494371993851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78502080443951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417226695581292E-3"/>
              <c:y val="3.69957757295068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251680086743877E-2"/>
              <c:y val="2.31224281052903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4.062920021685968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110531472594164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2503360173487698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7920586869069045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70861334779064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251680086743877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834453391162584E-2"/>
              <c:y val="-3.69955936645774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668906782325168E-2"/>
              <c:y val="-2.7746695248433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503466811808532E-2"/>
              <c:y val="-4.1620042872649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6687221612609602E-5"/>
              <c:y val="-3.598928577344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43759694797298E-3"/>
              <c:y val="-9.0494371993851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478502080443951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417226695581292E-3"/>
              <c:y val="3.69957757295068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251680086743877E-2"/>
              <c:y val="2.31224281052903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062920021685968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10531472594164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503360173487698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7920586869069045E-2"/>
              <c:y val="-9.248898416144353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0861334779064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578608845369407"/>
          <c:y val="0.1324240316913598"/>
          <c:w val="0.6975733437577708"/>
          <c:h val="0.72730841662876533"/>
        </c:manualLayout>
      </c:layout>
      <c:barChart>
        <c:barDir val="bar"/>
        <c:grouping val="stacked"/>
        <c:varyColors val="0"/>
        <c:ser>
          <c:idx val="0"/>
          <c:order val="0"/>
          <c:tx>
            <c:strRef>
              <c:f>'Monthly Breakdown of Top 3 Insp'!$B$3:$B$4</c:f>
              <c:strCache>
                <c:ptCount val="1"/>
                <c:pt idx="0">
                  <c:v>Follow Up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0-255B-4DA5-A977-A448A54D3453}"/>
              </c:ext>
            </c:extLst>
          </c:dPt>
          <c:dPt>
            <c:idx val="1"/>
            <c:invertIfNegative val="0"/>
            <c:bubble3D val="0"/>
            <c:extLst>
              <c:ext xmlns:c16="http://schemas.microsoft.com/office/drawing/2014/chart" uri="{C3380CC4-5D6E-409C-BE32-E72D297353CC}">
                <c16:uniqueId val="{00000001-255B-4DA5-A977-A448A54D3453}"/>
              </c:ext>
            </c:extLst>
          </c:dPt>
          <c:dPt>
            <c:idx val="2"/>
            <c:invertIfNegative val="0"/>
            <c:bubble3D val="0"/>
            <c:extLst>
              <c:ext xmlns:c16="http://schemas.microsoft.com/office/drawing/2014/chart" uri="{C3380CC4-5D6E-409C-BE32-E72D297353CC}">
                <c16:uniqueId val="{00000002-255B-4DA5-A977-A448A54D3453}"/>
              </c:ext>
            </c:extLst>
          </c:dPt>
          <c:dPt>
            <c:idx val="3"/>
            <c:invertIfNegative val="0"/>
            <c:bubble3D val="0"/>
            <c:extLst>
              <c:ext xmlns:c16="http://schemas.microsoft.com/office/drawing/2014/chart" uri="{C3380CC4-5D6E-409C-BE32-E72D297353CC}">
                <c16:uniqueId val="{00000003-255B-4DA5-A977-A448A54D3453}"/>
              </c:ext>
            </c:extLst>
          </c:dPt>
          <c:dPt>
            <c:idx val="4"/>
            <c:invertIfNegative val="0"/>
            <c:bubble3D val="0"/>
            <c:extLst>
              <c:ext xmlns:c16="http://schemas.microsoft.com/office/drawing/2014/chart" uri="{C3380CC4-5D6E-409C-BE32-E72D297353CC}">
                <c16:uniqueId val="{00000004-255B-4DA5-A977-A448A54D3453}"/>
              </c:ext>
            </c:extLst>
          </c:dPt>
          <c:dPt>
            <c:idx val="5"/>
            <c:invertIfNegative val="0"/>
            <c:bubble3D val="0"/>
            <c:extLst>
              <c:ext xmlns:c16="http://schemas.microsoft.com/office/drawing/2014/chart" uri="{C3380CC4-5D6E-409C-BE32-E72D297353CC}">
                <c16:uniqueId val="{00000005-255B-4DA5-A977-A448A54D3453}"/>
              </c:ext>
            </c:extLst>
          </c:dPt>
          <c:dPt>
            <c:idx val="6"/>
            <c:invertIfNegative val="0"/>
            <c:bubble3D val="0"/>
            <c:extLst>
              <c:ext xmlns:c16="http://schemas.microsoft.com/office/drawing/2014/chart" uri="{C3380CC4-5D6E-409C-BE32-E72D297353CC}">
                <c16:uniqueId val="{00000006-255B-4DA5-A977-A448A54D3453}"/>
              </c:ext>
            </c:extLst>
          </c:dPt>
          <c:dPt>
            <c:idx val="7"/>
            <c:invertIfNegative val="0"/>
            <c:bubble3D val="0"/>
            <c:extLst>
              <c:ext xmlns:c16="http://schemas.microsoft.com/office/drawing/2014/chart" uri="{C3380CC4-5D6E-409C-BE32-E72D297353CC}">
                <c16:uniqueId val="{00000007-255B-4DA5-A977-A448A54D3453}"/>
              </c:ext>
            </c:extLst>
          </c:dPt>
          <c:dPt>
            <c:idx val="10"/>
            <c:invertIfNegative val="0"/>
            <c:bubble3D val="0"/>
            <c:extLst>
              <c:ext xmlns:c16="http://schemas.microsoft.com/office/drawing/2014/chart" uri="{C3380CC4-5D6E-409C-BE32-E72D297353CC}">
                <c16:uniqueId val="{00000008-255B-4DA5-A977-A448A54D3453}"/>
              </c:ext>
            </c:extLst>
          </c:dPt>
          <c:dPt>
            <c:idx val="11"/>
            <c:invertIfNegative val="0"/>
            <c:bubble3D val="0"/>
            <c:extLst>
              <c:ext xmlns:c16="http://schemas.microsoft.com/office/drawing/2014/chart" uri="{C3380CC4-5D6E-409C-BE32-E72D297353CC}">
                <c16:uniqueId val="{00000009-255B-4DA5-A977-A448A54D3453}"/>
              </c:ext>
            </c:extLst>
          </c:dPt>
          <c:dLbls>
            <c:dLbl>
              <c:idx val="0"/>
              <c:delete val="1"/>
              <c:extLst>
                <c:ext xmlns:c15="http://schemas.microsoft.com/office/drawing/2012/chart" uri="{CE6537A1-D6FC-4f65-9D91-7224C49458BB}"/>
                <c:ext xmlns:c16="http://schemas.microsoft.com/office/drawing/2014/chart" uri="{C3380CC4-5D6E-409C-BE32-E72D297353CC}">
                  <c16:uniqueId val="{00000000-255B-4DA5-A977-A448A54D3453}"/>
                </c:ext>
              </c:extLst>
            </c:dLbl>
            <c:dLbl>
              <c:idx val="1"/>
              <c:layout>
                <c:manualLayout>
                  <c:x val="1.6251680086743877E-2"/>
                  <c:y val="-3.6995593664577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5B-4DA5-A977-A448A54D3453}"/>
                </c:ext>
              </c:extLst>
            </c:dLbl>
            <c:dLbl>
              <c:idx val="2"/>
              <c:layout>
                <c:manualLayout>
                  <c:x val="1.0834453391162584E-2"/>
                  <c:y val="-3.6995593664577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5B-4DA5-A977-A448A54D3453}"/>
                </c:ext>
              </c:extLst>
            </c:dLbl>
            <c:dLbl>
              <c:idx val="3"/>
              <c:delete val="1"/>
              <c:extLst>
                <c:ext xmlns:c15="http://schemas.microsoft.com/office/drawing/2012/chart" uri="{CE6537A1-D6FC-4f65-9D91-7224C49458BB}"/>
                <c:ext xmlns:c16="http://schemas.microsoft.com/office/drawing/2014/chart" uri="{C3380CC4-5D6E-409C-BE32-E72D297353CC}">
                  <c16:uniqueId val="{00000003-255B-4DA5-A977-A448A54D3453}"/>
                </c:ext>
              </c:extLst>
            </c:dLbl>
            <c:dLbl>
              <c:idx val="4"/>
              <c:delete val="1"/>
              <c:extLst>
                <c:ext xmlns:c15="http://schemas.microsoft.com/office/drawing/2012/chart" uri="{CE6537A1-D6FC-4f65-9D91-7224C49458BB}"/>
                <c:ext xmlns:c16="http://schemas.microsoft.com/office/drawing/2014/chart" uri="{C3380CC4-5D6E-409C-BE32-E72D297353CC}">
                  <c16:uniqueId val="{00000004-255B-4DA5-A977-A448A54D3453}"/>
                </c:ext>
              </c:extLst>
            </c:dLbl>
            <c:dLbl>
              <c:idx val="5"/>
              <c:layout>
                <c:manualLayout>
                  <c:x val="2.1668906782325168E-2"/>
                  <c:y val="-2.77466952484330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5B-4DA5-A977-A448A54D3453}"/>
                </c:ext>
              </c:extLst>
            </c:dLbl>
            <c:dLbl>
              <c:idx val="6"/>
              <c:layout>
                <c:manualLayout>
                  <c:x val="3.2503466811808532E-2"/>
                  <c:y val="-4.1620042872649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5B-4DA5-A977-A448A54D3453}"/>
                </c:ext>
              </c:extLst>
            </c:dLbl>
            <c:dLbl>
              <c:idx val="7"/>
              <c:layout>
                <c:manualLayout>
                  <c:x val="9.6687221612609602E-5"/>
                  <c:y val="-3.5989285773445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5B-4DA5-A977-A448A54D3453}"/>
                </c:ext>
              </c:extLst>
            </c:dLbl>
            <c:dLbl>
              <c:idx val="10"/>
              <c:layout>
                <c:manualLayout>
                  <c:x val="-5.5443759694797298E-3"/>
                  <c:y val="-9.04943719938513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5B-4DA5-A977-A448A54D3453}"/>
                </c:ext>
              </c:extLst>
            </c:dLbl>
            <c:dLbl>
              <c:idx val="11"/>
              <c:layout>
                <c:manualLayout>
                  <c:x val="-5.5478502080443951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5B-4DA5-A977-A448A54D34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'Monthly Breakdown of Top 3 Insp'!$A$5:$A$17</c:f>
              <c:strCache>
                <c:ptCount val="12"/>
                <c:pt idx="0">
                  <c:v>DEC</c:v>
                </c:pt>
                <c:pt idx="1">
                  <c:v>NOV</c:v>
                </c:pt>
                <c:pt idx="2">
                  <c:v>OCT</c:v>
                </c:pt>
                <c:pt idx="3">
                  <c:v>SEP</c:v>
                </c:pt>
                <c:pt idx="4">
                  <c:v>AUG</c:v>
                </c:pt>
                <c:pt idx="5">
                  <c:v>JULY</c:v>
                </c:pt>
                <c:pt idx="6">
                  <c:v>JUN</c:v>
                </c:pt>
                <c:pt idx="7">
                  <c:v>MAY</c:v>
                </c:pt>
                <c:pt idx="8">
                  <c:v>APR</c:v>
                </c:pt>
                <c:pt idx="9">
                  <c:v>MAR</c:v>
                </c:pt>
                <c:pt idx="10">
                  <c:v>FEB</c:v>
                </c:pt>
                <c:pt idx="11">
                  <c:v>JAN</c:v>
                </c:pt>
              </c:strCache>
            </c:strRef>
          </c:cat>
          <c:val>
            <c:numRef>
              <c:f>'Monthly Breakdown of Top 3 Insp'!$B$5:$B$17</c:f>
              <c:numCache>
                <c:formatCode>General</c:formatCode>
                <c:ptCount val="12"/>
                <c:pt idx="0">
                  <c:v>0</c:v>
                </c:pt>
                <c:pt idx="1">
                  <c:v>1</c:v>
                </c:pt>
                <c:pt idx="2">
                  <c:v>3</c:v>
                </c:pt>
                <c:pt idx="3">
                  <c:v>0</c:v>
                </c:pt>
                <c:pt idx="4">
                  <c:v>0</c:v>
                </c:pt>
                <c:pt idx="5">
                  <c:v>1</c:v>
                </c:pt>
                <c:pt idx="6">
                  <c:v>1</c:v>
                </c:pt>
                <c:pt idx="7">
                  <c:v>4</c:v>
                </c:pt>
                <c:pt idx="8">
                  <c:v>15</c:v>
                </c:pt>
                <c:pt idx="9">
                  <c:v>7</c:v>
                </c:pt>
                <c:pt idx="10">
                  <c:v>12</c:v>
                </c:pt>
                <c:pt idx="11">
                  <c:v>5</c:v>
                </c:pt>
              </c:numCache>
            </c:numRef>
          </c:val>
          <c:extLst>
            <c:ext xmlns:c16="http://schemas.microsoft.com/office/drawing/2014/chart" uri="{C3380CC4-5D6E-409C-BE32-E72D297353CC}">
              <c16:uniqueId val="{0000000A-255B-4DA5-A977-A448A54D3453}"/>
            </c:ext>
          </c:extLst>
        </c:ser>
        <c:ser>
          <c:idx val="1"/>
          <c:order val="1"/>
          <c:tx>
            <c:strRef>
              <c:f>'Monthly Breakdown of Top 3 Insp'!$C$3:$C$4</c:f>
              <c:strCache>
                <c:ptCount val="1"/>
                <c:pt idx="0">
                  <c:v>Retail Food Establishment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4"/>
            <c:invertIfNegative val="0"/>
            <c:bubble3D val="0"/>
            <c:extLst>
              <c:ext xmlns:c16="http://schemas.microsoft.com/office/drawing/2014/chart" uri="{C3380CC4-5D6E-409C-BE32-E72D297353CC}">
                <c16:uniqueId val="{0000000B-255B-4DA5-A977-A448A54D3453}"/>
              </c:ext>
            </c:extLst>
          </c:dPt>
          <c:dPt>
            <c:idx val="5"/>
            <c:invertIfNegative val="0"/>
            <c:bubble3D val="0"/>
            <c:extLst>
              <c:ext xmlns:c16="http://schemas.microsoft.com/office/drawing/2014/chart" uri="{C3380CC4-5D6E-409C-BE32-E72D297353CC}">
                <c16:uniqueId val="{0000000C-255B-4DA5-A977-A448A54D3453}"/>
              </c:ext>
            </c:extLst>
          </c:dPt>
          <c:dPt>
            <c:idx val="6"/>
            <c:invertIfNegative val="0"/>
            <c:bubble3D val="0"/>
            <c:extLst>
              <c:ext xmlns:c16="http://schemas.microsoft.com/office/drawing/2014/chart" uri="{C3380CC4-5D6E-409C-BE32-E72D297353CC}">
                <c16:uniqueId val="{0000000D-255B-4DA5-A977-A448A54D3453}"/>
              </c:ext>
            </c:extLst>
          </c:dPt>
          <c:dLbls>
            <c:dLbl>
              <c:idx val="4"/>
              <c:delete val="1"/>
              <c:extLst>
                <c:ext xmlns:c15="http://schemas.microsoft.com/office/drawing/2012/chart" uri="{CE6537A1-D6FC-4f65-9D91-7224C49458BB}"/>
                <c:ext xmlns:c16="http://schemas.microsoft.com/office/drawing/2014/chart" uri="{C3380CC4-5D6E-409C-BE32-E72D297353CC}">
                  <c16:uniqueId val="{0000000B-255B-4DA5-A977-A448A54D3453}"/>
                </c:ext>
              </c:extLst>
            </c:dLbl>
            <c:dLbl>
              <c:idx val="5"/>
              <c:layout>
                <c:manualLayout>
                  <c:x val="5.417226695581292E-3"/>
                  <c:y val="3.6995775729506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55B-4DA5-A977-A448A54D3453}"/>
                </c:ext>
              </c:extLst>
            </c:dLbl>
            <c:dLbl>
              <c:idx val="6"/>
              <c:layout>
                <c:manualLayout>
                  <c:x val="1.6251680086743877E-2"/>
                  <c:y val="2.3122428105290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55B-4DA5-A977-A448A54D34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'Monthly Breakdown of Top 3 Insp'!$A$5:$A$17</c:f>
              <c:strCache>
                <c:ptCount val="12"/>
                <c:pt idx="0">
                  <c:v>DEC</c:v>
                </c:pt>
                <c:pt idx="1">
                  <c:v>NOV</c:v>
                </c:pt>
                <c:pt idx="2">
                  <c:v>OCT</c:v>
                </c:pt>
                <c:pt idx="3">
                  <c:v>SEP</c:v>
                </c:pt>
                <c:pt idx="4">
                  <c:v>AUG</c:v>
                </c:pt>
                <c:pt idx="5">
                  <c:v>JULY</c:v>
                </c:pt>
                <c:pt idx="6">
                  <c:v>JUN</c:v>
                </c:pt>
                <c:pt idx="7">
                  <c:v>MAY</c:v>
                </c:pt>
                <c:pt idx="8">
                  <c:v>APR</c:v>
                </c:pt>
                <c:pt idx="9">
                  <c:v>MAR</c:v>
                </c:pt>
                <c:pt idx="10">
                  <c:v>FEB</c:v>
                </c:pt>
                <c:pt idx="11">
                  <c:v>JAN</c:v>
                </c:pt>
              </c:strCache>
            </c:strRef>
          </c:cat>
          <c:val>
            <c:numRef>
              <c:f>'Monthly Breakdown of Top 3 Insp'!$C$5:$C$17</c:f>
              <c:numCache>
                <c:formatCode>General</c:formatCode>
                <c:ptCount val="12"/>
                <c:pt idx="0">
                  <c:v>23</c:v>
                </c:pt>
                <c:pt idx="1">
                  <c:v>34</c:v>
                </c:pt>
                <c:pt idx="2">
                  <c:v>21</c:v>
                </c:pt>
                <c:pt idx="3">
                  <c:v>32</c:v>
                </c:pt>
                <c:pt idx="4">
                  <c:v>0</c:v>
                </c:pt>
                <c:pt idx="5">
                  <c:v>9</c:v>
                </c:pt>
                <c:pt idx="6">
                  <c:v>8</c:v>
                </c:pt>
                <c:pt idx="7">
                  <c:v>9</c:v>
                </c:pt>
                <c:pt idx="8">
                  <c:v>39</c:v>
                </c:pt>
                <c:pt idx="9">
                  <c:v>57</c:v>
                </c:pt>
                <c:pt idx="10">
                  <c:v>50</c:v>
                </c:pt>
                <c:pt idx="11">
                  <c:v>40</c:v>
                </c:pt>
              </c:numCache>
            </c:numRef>
          </c:val>
          <c:extLst>
            <c:ext xmlns:c16="http://schemas.microsoft.com/office/drawing/2014/chart" uri="{C3380CC4-5D6E-409C-BE32-E72D297353CC}">
              <c16:uniqueId val="{0000000E-255B-4DA5-A977-A448A54D3453}"/>
            </c:ext>
          </c:extLst>
        </c:ser>
        <c:ser>
          <c:idx val="2"/>
          <c:order val="2"/>
          <c:tx>
            <c:strRef>
              <c:f>'Monthly Breakdown of Top 3 Insp'!$D$3:$D$4</c:f>
              <c:strCache>
                <c:ptCount val="1"/>
                <c:pt idx="0">
                  <c:v>Temporary and Special Events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F-255B-4DA5-A977-A448A54D3453}"/>
              </c:ext>
            </c:extLst>
          </c:dPt>
          <c:dPt>
            <c:idx val="2"/>
            <c:invertIfNegative val="0"/>
            <c:bubble3D val="0"/>
            <c:extLst>
              <c:ext xmlns:c16="http://schemas.microsoft.com/office/drawing/2014/chart" uri="{C3380CC4-5D6E-409C-BE32-E72D297353CC}">
                <c16:uniqueId val="{00000010-255B-4DA5-A977-A448A54D3453}"/>
              </c:ext>
            </c:extLst>
          </c:dPt>
          <c:dPt>
            <c:idx val="3"/>
            <c:invertIfNegative val="0"/>
            <c:bubble3D val="0"/>
            <c:extLst>
              <c:ext xmlns:c16="http://schemas.microsoft.com/office/drawing/2014/chart" uri="{C3380CC4-5D6E-409C-BE32-E72D297353CC}">
                <c16:uniqueId val="{00000011-255B-4DA5-A977-A448A54D3453}"/>
              </c:ext>
            </c:extLst>
          </c:dPt>
          <c:dPt>
            <c:idx val="4"/>
            <c:invertIfNegative val="0"/>
            <c:bubble3D val="0"/>
            <c:extLst>
              <c:ext xmlns:c16="http://schemas.microsoft.com/office/drawing/2014/chart" uri="{C3380CC4-5D6E-409C-BE32-E72D297353CC}">
                <c16:uniqueId val="{00000012-255B-4DA5-A977-A448A54D3453}"/>
              </c:ext>
            </c:extLst>
          </c:dPt>
          <c:dPt>
            <c:idx val="10"/>
            <c:invertIfNegative val="0"/>
            <c:bubble3D val="0"/>
            <c:extLst>
              <c:ext xmlns:c16="http://schemas.microsoft.com/office/drawing/2014/chart" uri="{C3380CC4-5D6E-409C-BE32-E72D297353CC}">
                <c16:uniqueId val="{00000013-255B-4DA5-A977-A448A54D3453}"/>
              </c:ext>
            </c:extLst>
          </c:dPt>
          <c:dPt>
            <c:idx val="11"/>
            <c:invertIfNegative val="0"/>
            <c:bubble3D val="0"/>
            <c:extLst>
              <c:ext xmlns:c16="http://schemas.microsoft.com/office/drawing/2014/chart" uri="{C3380CC4-5D6E-409C-BE32-E72D297353CC}">
                <c16:uniqueId val="{00000014-255B-4DA5-A977-A448A54D3453}"/>
              </c:ext>
            </c:extLst>
          </c:dPt>
          <c:dLbls>
            <c:dLbl>
              <c:idx val="0"/>
              <c:layout>
                <c:manualLayout>
                  <c:x val="4.06292002168596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55B-4DA5-A977-A448A54D3453}"/>
                </c:ext>
              </c:extLst>
            </c:dLbl>
            <c:dLbl>
              <c:idx val="2"/>
              <c:layout>
                <c:manualLayout>
                  <c:x val="0.1110531472594164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55B-4DA5-A977-A448A54D3453}"/>
                </c:ext>
              </c:extLst>
            </c:dLbl>
            <c:dLbl>
              <c:idx val="3"/>
              <c:layout>
                <c:manualLayout>
                  <c:x val="3.2503360173487698E-2"/>
                  <c:y val="-9.24889841614435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55B-4DA5-A977-A448A54D3453}"/>
                </c:ext>
              </c:extLst>
            </c:dLbl>
            <c:dLbl>
              <c:idx val="4"/>
              <c:delete val="1"/>
              <c:extLst>
                <c:ext xmlns:c15="http://schemas.microsoft.com/office/drawing/2012/chart" uri="{CE6537A1-D6FC-4f65-9D91-7224C49458BB}"/>
                <c:ext xmlns:c16="http://schemas.microsoft.com/office/drawing/2014/chart" uri="{C3380CC4-5D6E-409C-BE32-E72D297353CC}">
                  <c16:uniqueId val="{00000012-255B-4DA5-A977-A448A54D3453}"/>
                </c:ext>
              </c:extLst>
            </c:dLbl>
            <c:dLbl>
              <c:idx val="10"/>
              <c:layout>
                <c:manualLayout>
                  <c:x val="3.7920586869069045E-2"/>
                  <c:y val="-9.24889841614435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55B-4DA5-A977-A448A54D3453}"/>
                </c:ext>
              </c:extLst>
            </c:dLbl>
            <c:dLbl>
              <c:idx val="11"/>
              <c:layout>
                <c:manualLayout>
                  <c:x val="2.70861334779064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55B-4DA5-A977-A448A54D34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Breakdown of Top 3 Insp'!$A$5:$A$17</c:f>
              <c:strCache>
                <c:ptCount val="12"/>
                <c:pt idx="0">
                  <c:v>DEC</c:v>
                </c:pt>
                <c:pt idx="1">
                  <c:v>NOV</c:v>
                </c:pt>
                <c:pt idx="2">
                  <c:v>OCT</c:v>
                </c:pt>
                <c:pt idx="3">
                  <c:v>SEP</c:v>
                </c:pt>
                <c:pt idx="4">
                  <c:v>AUG</c:v>
                </c:pt>
                <c:pt idx="5">
                  <c:v>JULY</c:v>
                </c:pt>
                <c:pt idx="6">
                  <c:v>JUN</c:v>
                </c:pt>
                <c:pt idx="7">
                  <c:v>MAY</c:v>
                </c:pt>
                <c:pt idx="8">
                  <c:v>APR</c:v>
                </c:pt>
                <c:pt idx="9">
                  <c:v>MAR</c:v>
                </c:pt>
                <c:pt idx="10">
                  <c:v>FEB</c:v>
                </c:pt>
                <c:pt idx="11">
                  <c:v>JAN</c:v>
                </c:pt>
              </c:strCache>
            </c:strRef>
          </c:cat>
          <c:val>
            <c:numRef>
              <c:f>'Monthly Breakdown of Top 3 Insp'!$D$5:$D$17</c:f>
              <c:numCache>
                <c:formatCode>General</c:formatCode>
                <c:ptCount val="12"/>
                <c:pt idx="0">
                  <c:v>6</c:v>
                </c:pt>
                <c:pt idx="1">
                  <c:v>11</c:v>
                </c:pt>
                <c:pt idx="2">
                  <c:v>26</c:v>
                </c:pt>
                <c:pt idx="3">
                  <c:v>3</c:v>
                </c:pt>
                <c:pt idx="4">
                  <c:v>0</c:v>
                </c:pt>
                <c:pt idx="5">
                  <c:v>20</c:v>
                </c:pt>
                <c:pt idx="6">
                  <c:v>12</c:v>
                </c:pt>
                <c:pt idx="7">
                  <c:v>35</c:v>
                </c:pt>
                <c:pt idx="8">
                  <c:v>11</c:v>
                </c:pt>
                <c:pt idx="9">
                  <c:v>13</c:v>
                </c:pt>
                <c:pt idx="10">
                  <c:v>5</c:v>
                </c:pt>
                <c:pt idx="11">
                  <c:v>1</c:v>
                </c:pt>
              </c:numCache>
            </c:numRef>
          </c:val>
          <c:extLst>
            <c:ext xmlns:c16="http://schemas.microsoft.com/office/drawing/2014/chart" uri="{C3380CC4-5D6E-409C-BE32-E72D297353CC}">
              <c16:uniqueId val="{00000015-255B-4DA5-A977-A448A54D3453}"/>
            </c:ext>
          </c:extLst>
        </c:ser>
        <c:dLbls>
          <c:showLegendKey val="0"/>
          <c:showVal val="0"/>
          <c:showCatName val="0"/>
          <c:showSerName val="0"/>
          <c:showPercent val="0"/>
          <c:showBubbleSize val="0"/>
        </c:dLbls>
        <c:gapWidth val="150"/>
        <c:overlap val="100"/>
        <c:axId val="1718951359"/>
        <c:axId val="1718947999"/>
      </c:barChart>
      <c:catAx>
        <c:axId val="1718951359"/>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Month</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18947999"/>
        <c:crosses val="autoZero"/>
        <c:auto val="1"/>
        <c:lblAlgn val="ctr"/>
        <c:lblOffset val="100"/>
        <c:noMultiLvlLbl val="0"/>
      </c:catAx>
      <c:valAx>
        <c:axId val="171894799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Number of Inspections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18951359"/>
        <c:crosses val="autoZero"/>
        <c:crossBetween val="between"/>
      </c:valAx>
      <c:spPr>
        <a:noFill/>
        <a:ln>
          <a:noFill/>
        </a:ln>
        <a:effectLst/>
      </c:spPr>
    </c:plotArea>
    <c:legend>
      <c:legendPos val="r"/>
      <c:layout>
        <c:manualLayout>
          <c:xMode val="edge"/>
          <c:yMode val="edge"/>
          <c:x val="0.86829706597413503"/>
          <c:y val="0.34046493272147077"/>
          <c:w val="0.11996769295940551"/>
          <c:h val="0.37645013056665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FY25-26 Env Census Data.xlsx]Proportion of Inspection Types !PivotTable13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Proportion of Inspection Types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lumMod val="60000"/>
            </a:schemeClr>
          </a:solidFill>
          <a:ln>
            <a:noFill/>
          </a:ln>
          <a:effectLst>
            <a:outerShdw blurRad="254000" sx="102000" sy="102000" algn="ctr" rotWithShape="0">
              <a:prstClr val="black">
                <a:alpha val="20000"/>
              </a:prstClr>
            </a:outerShdw>
          </a:effectLst>
        </c:spPr>
        <c:dLbl>
          <c:idx val="0"/>
          <c:layout>
            <c:manualLayout>
              <c:x val="-4.4444444444444467E-2"/>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4">
              <a:lumMod val="60000"/>
            </a:schemeClr>
          </a:solidFill>
          <a:ln>
            <a:noFill/>
          </a:ln>
          <a:effectLst>
            <a:outerShdw blurRad="254000" sx="102000" sy="102000" algn="ctr" rotWithShape="0">
              <a:prstClr val="black">
                <a:alpha val="20000"/>
              </a:prstClr>
            </a:outerShdw>
          </a:effectLst>
        </c:spPr>
        <c:dLbl>
          <c:idx val="0"/>
          <c:layout>
            <c:manualLayout>
              <c:x val="-6.9444444444444461E-2"/>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3">
              <a:lumMod val="6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2">
              <a:lumMod val="60000"/>
            </a:schemeClr>
          </a:solidFill>
          <a:ln>
            <a:noFill/>
          </a:ln>
          <a:effectLst>
            <a:outerShdw blurRad="254000" sx="102000" sy="102000" algn="ctr" rotWithShape="0">
              <a:prstClr val="black">
                <a:alpha val="20000"/>
              </a:prstClr>
            </a:outerShdw>
          </a:effectLst>
        </c:spPr>
        <c:dLbl>
          <c:idx val="0"/>
          <c:layout>
            <c:manualLayout>
              <c:x val="-5.2777777777777792E-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lumMod val="60000"/>
            </a:schemeClr>
          </a:solidFill>
          <a:ln>
            <a:noFill/>
          </a:ln>
          <a:effectLst>
            <a:outerShdw blurRad="254000" sx="102000" sy="102000" algn="ctr" rotWithShape="0">
              <a:prstClr val="black">
                <a:alpha val="20000"/>
              </a:prstClr>
            </a:outerShdw>
          </a:effectLst>
        </c:spPr>
        <c:dLbl>
          <c:idx val="0"/>
          <c:layout>
            <c:manualLayout>
              <c:x val="1.6666666666666666E-2"/>
              <c:y val="7.407407407407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6"/>
          </a:solidFill>
          <a:ln>
            <a:noFill/>
          </a:ln>
          <a:effectLst>
            <a:outerShdw blurRad="254000" sx="102000" sy="102000" algn="ctr" rotWithShape="0">
              <a:prstClr val="black">
                <a:alpha val="20000"/>
              </a:prstClr>
            </a:outerShdw>
          </a:effectLst>
        </c:spPr>
        <c:dLbl>
          <c:idx val="0"/>
          <c:layout>
            <c:manualLayout>
              <c:x val="6.3888888888888884E-2"/>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5"/>
          </a:solidFill>
          <a:ln>
            <a:noFill/>
          </a:ln>
          <a:effectLst>
            <a:outerShdw blurRad="254000" sx="102000" sy="102000" algn="ctr" rotWithShape="0">
              <a:prstClr val="black">
                <a:alpha val="20000"/>
              </a:prstClr>
            </a:outerShdw>
          </a:effectLst>
        </c:spPr>
        <c:dLbl>
          <c:idx val="0"/>
          <c:layout>
            <c:manualLayout>
              <c:x val="0.05"/>
              <c:y val="-3.70370370370370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4"/>
          </a:solidFill>
          <a:ln>
            <a:noFill/>
          </a:ln>
          <a:effectLst>
            <a:outerShdw blurRad="254000" sx="102000" sy="102000" algn="ctr" rotWithShape="0">
              <a:prstClr val="black">
                <a:alpha val="20000"/>
              </a:prstClr>
            </a:outerShdw>
          </a:effectLst>
        </c:spPr>
        <c:dLbl>
          <c:idx val="0"/>
          <c:layout>
            <c:manualLayout>
              <c:x val="4.166666666666672E-2"/>
              <c:y val="-7.40740740740741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2"/>
          </a:solidFill>
          <a:ln>
            <a:noFill/>
          </a:ln>
          <a:effectLst>
            <a:outerShdw blurRad="254000" sx="102000" sy="102000" algn="ctr" rotWithShape="0">
              <a:prstClr val="black">
                <a:alpha val="20000"/>
              </a:prstClr>
            </a:outerShdw>
          </a:effectLst>
        </c:spPr>
        <c:dLbl>
          <c:idx val="0"/>
          <c:layout>
            <c:manualLayout>
              <c:x val="1.9444444444444445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3"/>
          </a:solidFill>
          <a:ln>
            <a:noFill/>
          </a:ln>
          <a:effectLst>
            <a:outerShdw blurRad="254000" sx="102000" sy="102000" algn="ctr" rotWithShape="0">
              <a:prstClr val="black">
                <a:alpha val="20000"/>
              </a:prstClr>
            </a:outerShdw>
          </a:effectLst>
        </c:spPr>
        <c:dLbl>
          <c:idx val="0"/>
          <c:layout>
            <c:manualLayout>
              <c:x val="3.888888888888889E-2"/>
              <c:y val="-9.25925925925925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0.1226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15:layout>
                <c:manualLayout>
                  <c:w val="5.2157261592300962E-2"/>
                  <c:h val="7.5710848643919512E-2"/>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0.1226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15:layout>
                <c:manualLayout>
                  <c:w val="5.2157261592300962E-2"/>
                  <c:h val="7.5710848643919512E-2"/>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1.9444444444444445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3.888888888888889E-2"/>
              <c:y val="-9.25925925925925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4.166666666666672E-2"/>
              <c:y val="-7.40740740740741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05"/>
              <c:y val="-3.70370370370370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1.6666666666666666E-2"/>
              <c:y val="7.407407407407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5.2777777777777792E-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2"/>
        <c:spPr>
          <a:solidFill>
            <a:schemeClr val="accent1"/>
          </a:solidFill>
          <a:ln>
            <a:noFill/>
          </a:ln>
          <a:effectLst>
            <a:outerShdw blurRad="254000" sx="102000" sy="102000" algn="ctr" rotWithShape="0">
              <a:prstClr val="black">
                <a:alpha val="20000"/>
              </a:prstClr>
            </a:outerShdw>
          </a:effectLst>
        </c:spPr>
        <c:dLbl>
          <c:idx val="0"/>
          <c:layout>
            <c:manualLayout>
              <c:x val="-6.9444444444444461E-2"/>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4.4444444444444467E-2"/>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5"/>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0.1226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15:layout>
                <c:manualLayout>
                  <c:w val="5.2157261592300962E-2"/>
                  <c:h val="7.5710848643919512E-2"/>
                </c:manualLayout>
              </c15:layout>
            </c:ext>
          </c:extLst>
        </c:dLbl>
      </c:pivotFmt>
      <c:pivotFmt>
        <c:idx val="26"/>
        <c:spPr>
          <a:solidFill>
            <a:schemeClr val="accent1"/>
          </a:solidFill>
          <a:ln>
            <a:noFill/>
          </a:ln>
          <a:effectLst>
            <a:outerShdw blurRad="254000" sx="102000" sy="102000" algn="ctr" rotWithShape="0">
              <a:prstClr val="black">
                <a:alpha val="20000"/>
              </a:prstClr>
            </a:outerShdw>
          </a:effectLst>
        </c:spPr>
        <c:dLbl>
          <c:idx val="0"/>
          <c:layout>
            <c:manualLayout>
              <c:x val="1.9444444444444445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7"/>
        <c:spPr>
          <a:solidFill>
            <a:schemeClr val="accent1"/>
          </a:solidFill>
          <a:ln>
            <a:noFill/>
          </a:ln>
          <a:effectLst>
            <a:outerShdw blurRad="254000" sx="102000" sy="102000" algn="ctr" rotWithShape="0">
              <a:prstClr val="black">
                <a:alpha val="20000"/>
              </a:prstClr>
            </a:outerShdw>
          </a:effectLst>
        </c:spPr>
        <c:dLbl>
          <c:idx val="0"/>
          <c:layout>
            <c:manualLayout>
              <c:x val="3.888888888888889E-2"/>
              <c:y val="-9.25925925925925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8"/>
        <c:spPr>
          <a:solidFill>
            <a:schemeClr val="accent1"/>
          </a:solidFill>
          <a:ln>
            <a:noFill/>
          </a:ln>
          <a:effectLst>
            <a:outerShdw blurRad="254000" sx="102000" sy="102000" algn="ctr" rotWithShape="0">
              <a:prstClr val="black">
                <a:alpha val="20000"/>
              </a:prstClr>
            </a:outerShdw>
          </a:effectLst>
        </c:spPr>
        <c:dLbl>
          <c:idx val="0"/>
          <c:layout>
            <c:manualLayout>
              <c:x val="4.166666666666672E-2"/>
              <c:y val="-7.40740740740741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0.05"/>
              <c:y val="-3.70370370370370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0"/>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1"/>
        <c:spPr>
          <a:solidFill>
            <a:schemeClr val="accent1"/>
          </a:solidFill>
          <a:ln>
            <a:noFill/>
          </a:ln>
          <a:effectLst>
            <a:outerShdw blurRad="254000" sx="102000" sy="102000" algn="ctr" rotWithShape="0">
              <a:prstClr val="black">
                <a:alpha val="20000"/>
              </a:prstClr>
            </a:outerShdw>
          </a:effectLst>
        </c:spPr>
        <c:dLbl>
          <c:idx val="0"/>
          <c:layout>
            <c:manualLayout>
              <c:x val="1.6666666666666666E-2"/>
              <c:y val="7.407407407407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2"/>
        <c:spPr>
          <a:solidFill>
            <a:schemeClr val="accent1"/>
          </a:solidFill>
          <a:ln>
            <a:noFill/>
          </a:ln>
          <a:effectLst>
            <a:outerShdw blurRad="254000" sx="102000" sy="102000" algn="ctr" rotWithShape="0">
              <a:prstClr val="black">
                <a:alpha val="20000"/>
              </a:prstClr>
            </a:outerShdw>
          </a:effectLst>
        </c:spPr>
        <c:dLbl>
          <c:idx val="0"/>
          <c:layout>
            <c:manualLayout>
              <c:x val="-5.2777777777777792E-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4"/>
        <c:spPr>
          <a:solidFill>
            <a:schemeClr val="accent1"/>
          </a:solidFill>
          <a:ln>
            <a:noFill/>
          </a:ln>
          <a:effectLst>
            <a:outerShdw blurRad="254000" sx="102000" sy="102000" algn="ctr" rotWithShape="0">
              <a:prstClr val="black">
                <a:alpha val="20000"/>
              </a:prstClr>
            </a:outerShdw>
          </a:effectLst>
        </c:spPr>
        <c:dLbl>
          <c:idx val="0"/>
          <c:layout>
            <c:manualLayout>
              <c:x val="-6.9444444444444461E-2"/>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5"/>
        <c:spPr>
          <a:solidFill>
            <a:schemeClr val="accent1"/>
          </a:solidFill>
          <a:ln>
            <a:noFill/>
          </a:ln>
          <a:effectLst>
            <a:outerShdw blurRad="254000" sx="102000" sy="102000" algn="ctr" rotWithShape="0">
              <a:prstClr val="black">
                <a:alpha val="20000"/>
              </a:prstClr>
            </a:outerShdw>
          </a:effectLst>
        </c:spPr>
        <c:dLbl>
          <c:idx val="0"/>
          <c:layout>
            <c:manualLayout>
              <c:x val="-4.4444444444444467E-2"/>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7"/>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0.1226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15:layout>
                <c:manualLayout>
                  <c:w val="5.2157261592300962E-2"/>
                  <c:h val="7.5710848643919512E-2"/>
                </c:manualLayout>
              </c15:layout>
            </c:ext>
          </c:extLst>
        </c:dLbl>
      </c:pivotFmt>
      <c:pivotFmt>
        <c:idx val="38"/>
        <c:spPr>
          <a:solidFill>
            <a:schemeClr val="accent1"/>
          </a:solidFill>
          <a:ln>
            <a:noFill/>
          </a:ln>
          <a:effectLst>
            <a:outerShdw blurRad="254000" sx="102000" sy="102000" algn="ctr" rotWithShape="0">
              <a:prstClr val="black">
                <a:alpha val="20000"/>
              </a:prstClr>
            </a:outerShdw>
          </a:effectLst>
        </c:spPr>
        <c:dLbl>
          <c:idx val="0"/>
          <c:layout>
            <c:manualLayout>
              <c:x val="1.9444444444444445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39"/>
        <c:spPr>
          <a:solidFill>
            <a:schemeClr val="accent1"/>
          </a:solidFill>
          <a:ln>
            <a:noFill/>
          </a:ln>
          <a:effectLst>
            <a:outerShdw blurRad="254000" sx="102000" sy="102000" algn="ctr" rotWithShape="0">
              <a:prstClr val="black">
                <a:alpha val="20000"/>
              </a:prstClr>
            </a:outerShdw>
          </a:effectLst>
        </c:spPr>
        <c:dLbl>
          <c:idx val="0"/>
          <c:layout>
            <c:manualLayout>
              <c:x val="3.888888888888889E-2"/>
              <c:y val="-9.25925925925925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0"/>
        <c:spPr>
          <a:solidFill>
            <a:schemeClr val="accent1"/>
          </a:solidFill>
          <a:ln>
            <a:noFill/>
          </a:ln>
          <a:effectLst>
            <a:outerShdw blurRad="254000" sx="102000" sy="102000" algn="ctr" rotWithShape="0">
              <a:prstClr val="black">
                <a:alpha val="20000"/>
              </a:prstClr>
            </a:outerShdw>
          </a:effectLst>
        </c:spPr>
        <c:dLbl>
          <c:idx val="0"/>
          <c:layout>
            <c:manualLayout>
              <c:x val="4.166666666666672E-2"/>
              <c:y val="-7.40740740740741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1"/>
        <c:spPr>
          <a:solidFill>
            <a:schemeClr val="accent1"/>
          </a:solidFill>
          <a:ln>
            <a:noFill/>
          </a:ln>
          <a:effectLst>
            <a:outerShdw blurRad="254000" sx="102000" sy="102000" algn="ctr" rotWithShape="0">
              <a:prstClr val="black">
                <a:alpha val="20000"/>
              </a:prstClr>
            </a:outerShdw>
          </a:effectLst>
        </c:spPr>
        <c:dLbl>
          <c:idx val="0"/>
          <c:layout>
            <c:manualLayout>
              <c:x val="0.05"/>
              <c:y val="-3.70370370370370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2"/>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3"/>
        <c:spPr>
          <a:solidFill>
            <a:schemeClr val="accent1"/>
          </a:solidFill>
          <a:ln>
            <a:noFill/>
          </a:ln>
          <a:effectLst>
            <a:outerShdw blurRad="254000" sx="102000" sy="102000" algn="ctr" rotWithShape="0">
              <a:prstClr val="black">
                <a:alpha val="20000"/>
              </a:prstClr>
            </a:outerShdw>
          </a:effectLst>
        </c:spPr>
        <c:dLbl>
          <c:idx val="0"/>
          <c:layout>
            <c:manualLayout>
              <c:x val="1.6666666666666666E-2"/>
              <c:y val="7.407407407407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4"/>
        <c:spPr>
          <a:solidFill>
            <a:schemeClr val="accent1"/>
          </a:solidFill>
          <a:ln>
            <a:noFill/>
          </a:ln>
          <a:effectLst>
            <a:outerShdw blurRad="254000" sx="102000" sy="102000" algn="ctr" rotWithShape="0">
              <a:prstClr val="black">
                <a:alpha val="20000"/>
              </a:prstClr>
            </a:outerShdw>
          </a:effectLst>
        </c:spPr>
        <c:dLbl>
          <c:idx val="0"/>
          <c:layout>
            <c:manualLayout>
              <c:x val="-5.2777777777777792E-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6"/>
        <c:spPr>
          <a:solidFill>
            <a:schemeClr val="accent1"/>
          </a:solidFill>
          <a:ln>
            <a:noFill/>
          </a:ln>
          <a:effectLst>
            <a:outerShdw blurRad="254000" sx="102000" sy="102000" algn="ctr" rotWithShape="0">
              <a:prstClr val="black">
                <a:alpha val="20000"/>
              </a:prstClr>
            </a:outerShdw>
          </a:effectLst>
        </c:spPr>
        <c:dLbl>
          <c:idx val="0"/>
          <c:layout>
            <c:manualLayout>
              <c:x val="-6.9444444444444461E-2"/>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7"/>
        <c:spPr>
          <a:solidFill>
            <a:schemeClr val="accent1"/>
          </a:solidFill>
          <a:ln>
            <a:noFill/>
          </a:ln>
          <a:effectLst>
            <a:outerShdw blurRad="254000" sx="102000" sy="102000" algn="ctr" rotWithShape="0">
              <a:prstClr val="black">
                <a:alpha val="20000"/>
              </a:prstClr>
            </a:outerShdw>
          </a:effectLst>
        </c:spPr>
        <c:dLbl>
          <c:idx val="0"/>
          <c:layout>
            <c:manualLayout>
              <c:x val="-4.4444444444444467E-2"/>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49"/>
        <c:spPr>
          <a:solidFill>
            <a:schemeClr val="accent1"/>
          </a:solidFill>
          <a:ln>
            <a:noFill/>
          </a:ln>
          <a:effectLst>
            <a:outerShdw blurRad="254000" sx="102000" sy="102000" algn="ctr" rotWithShape="0">
              <a:prstClr val="black">
                <a:alpha val="20000"/>
              </a:prstClr>
            </a:outerShdw>
          </a:effectLst>
        </c:spPr>
        <c:dLbl>
          <c:idx val="0"/>
          <c:layout>
            <c:manualLayout>
              <c:x val="-1.3888888888888888E-2"/>
              <c:y val="-0.122685185185185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15:layout>
                <c:manualLayout>
                  <c:w val="5.2157261592300962E-2"/>
                  <c:h val="7.5710848643919512E-2"/>
                </c:manualLayout>
              </c15:layout>
            </c:ext>
          </c:extLst>
        </c:dLbl>
      </c:pivotFmt>
      <c:pivotFmt>
        <c:idx val="50"/>
        <c:spPr>
          <a:solidFill>
            <a:schemeClr val="accent1"/>
          </a:solidFill>
          <a:ln>
            <a:noFill/>
          </a:ln>
          <a:effectLst>
            <a:outerShdw blurRad="254000" sx="102000" sy="102000" algn="ctr" rotWithShape="0">
              <a:prstClr val="black">
                <a:alpha val="20000"/>
              </a:prstClr>
            </a:outerShdw>
          </a:effectLst>
        </c:spPr>
        <c:dLbl>
          <c:idx val="0"/>
          <c:layout>
            <c:manualLayout>
              <c:x val="1.9444444444444445E-2"/>
              <c:y val="-0.115740740740740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1"/>
        <c:spPr>
          <a:solidFill>
            <a:schemeClr val="accent1"/>
          </a:solidFill>
          <a:ln>
            <a:noFill/>
          </a:ln>
          <a:effectLst>
            <a:outerShdw blurRad="254000" sx="102000" sy="102000" algn="ctr" rotWithShape="0">
              <a:prstClr val="black">
                <a:alpha val="20000"/>
              </a:prstClr>
            </a:outerShdw>
          </a:effectLst>
        </c:spPr>
        <c:dLbl>
          <c:idx val="0"/>
          <c:layout>
            <c:manualLayout>
              <c:x val="3.888888888888889E-2"/>
              <c:y val="-9.25925925925925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2"/>
        <c:spPr>
          <a:solidFill>
            <a:schemeClr val="accent1"/>
          </a:solidFill>
          <a:ln>
            <a:noFill/>
          </a:ln>
          <a:effectLst>
            <a:outerShdw blurRad="254000" sx="102000" sy="102000" algn="ctr" rotWithShape="0">
              <a:prstClr val="black">
                <a:alpha val="20000"/>
              </a:prstClr>
            </a:outerShdw>
          </a:effectLst>
        </c:spPr>
        <c:dLbl>
          <c:idx val="0"/>
          <c:layout>
            <c:manualLayout>
              <c:x val="4.166666666666672E-2"/>
              <c:y val="-7.40740740740741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3"/>
        <c:spPr>
          <a:solidFill>
            <a:schemeClr val="accent1"/>
          </a:solidFill>
          <a:ln>
            <a:noFill/>
          </a:ln>
          <a:effectLst>
            <a:outerShdw blurRad="254000" sx="102000" sy="102000" algn="ctr" rotWithShape="0">
              <a:prstClr val="black">
                <a:alpha val="20000"/>
              </a:prstClr>
            </a:outerShdw>
          </a:effectLst>
        </c:spPr>
        <c:dLbl>
          <c:idx val="0"/>
          <c:layout>
            <c:manualLayout>
              <c:x val="0.05"/>
              <c:y val="-3.70370370370370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4"/>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5"/>
        <c:spPr>
          <a:solidFill>
            <a:schemeClr val="accent1"/>
          </a:solidFill>
          <a:ln>
            <a:noFill/>
          </a:ln>
          <a:effectLst>
            <a:outerShdw blurRad="254000" sx="102000" sy="102000" algn="ctr" rotWithShape="0">
              <a:prstClr val="black">
                <a:alpha val="20000"/>
              </a:prstClr>
            </a:outerShdw>
          </a:effectLst>
        </c:spPr>
        <c:dLbl>
          <c:idx val="0"/>
          <c:layout>
            <c:manualLayout>
              <c:x val="1.6666666666666666E-2"/>
              <c:y val="7.407407407407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6"/>
        <c:spPr>
          <a:solidFill>
            <a:schemeClr val="accent1"/>
          </a:solidFill>
          <a:ln>
            <a:noFill/>
          </a:ln>
          <a:effectLst>
            <a:outerShdw blurRad="254000" sx="102000" sy="102000" algn="ctr" rotWithShape="0">
              <a:prstClr val="black">
                <a:alpha val="20000"/>
              </a:prstClr>
            </a:outerShdw>
          </a:effectLst>
        </c:spPr>
        <c:dLbl>
          <c:idx val="0"/>
          <c:layout>
            <c:manualLayout>
              <c:x val="-5.2777777777777792E-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8"/>
        <c:spPr>
          <a:solidFill>
            <a:schemeClr val="accent1"/>
          </a:solidFill>
          <a:ln>
            <a:noFill/>
          </a:ln>
          <a:effectLst>
            <a:outerShdw blurRad="254000" sx="102000" sy="102000" algn="ctr" rotWithShape="0">
              <a:prstClr val="black">
                <a:alpha val="20000"/>
              </a:prstClr>
            </a:outerShdw>
          </a:effectLst>
        </c:spPr>
        <c:dLbl>
          <c:idx val="0"/>
          <c:layout>
            <c:manualLayout>
              <c:x val="-6.9444444444444461E-2"/>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
        <c:idx val="59"/>
        <c:spPr>
          <a:solidFill>
            <a:schemeClr val="accent1"/>
          </a:solidFill>
          <a:ln>
            <a:noFill/>
          </a:ln>
          <a:effectLst>
            <a:outerShdw blurRad="254000" sx="102000" sy="102000" algn="ctr" rotWithShape="0">
              <a:prstClr val="black">
                <a:alpha val="20000"/>
              </a:prstClr>
            </a:outerShdw>
          </a:effectLst>
        </c:spPr>
        <c:dLbl>
          <c:idx val="0"/>
          <c:layout>
            <c:manualLayout>
              <c:x val="-4.4444444444444467E-2"/>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'Proportion of Inspection Types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05-4D5F-82F6-D18A742E3D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05-4D5F-82F6-D18A742E3D6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105-4D5F-82F6-D18A742E3D6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105-4D5F-82F6-D18A742E3D6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105-4D5F-82F6-D18A742E3D6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105-4D5F-82F6-D18A742E3D6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105-4D5F-82F6-D18A742E3D6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105-4D5F-82F6-D18A742E3D6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105-4D5F-82F6-D18A742E3D64}"/>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105-4D5F-82F6-D18A742E3D64}"/>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105-4D5F-82F6-D18A742E3D64}"/>
              </c:ext>
            </c:extLst>
          </c:dPt>
          <c:dLbls>
            <c:dLbl>
              <c:idx val="0"/>
              <c:layout>
                <c:manualLayout>
                  <c:x val="-1.3888888888888888E-2"/>
                  <c:y val="-0.12268518518518517"/>
                </c:manualLayout>
              </c:layout>
              <c:showLegendKey val="0"/>
              <c:showVal val="0"/>
              <c:showCatName val="0"/>
              <c:showSerName val="0"/>
              <c:showPercent val="1"/>
              <c:showBubbleSize val="0"/>
              <c:extLst>
                <c:ext xmlns:c15="http://schemas.microsoft.com/office/drawing/2012/chart" uri="{CE6537A1-D6FC-4f65-9D91-7224C49458BB}">
                  <c15:layout>
                    <c:manualLayout>
                      <c:w val="5.2157261592300962E-2"/>
                      <c:h val="7.5710848643919512E-2"/>
                    </c:manualLayout>
                  </c15:layout>
                </c:ext>
                <c:ext xmlns:c16="http://schemas.microsoft.com/office/drawing/2014/chart" uri="{C3380CC4-5D6E-409C-BE32-E72D297353CC}">
                  <c16:uniqueId val="{00000001-F105-4D5F-82F6-D18A742E3D64}"/>
                </c:ext>
              </c:extLst>
            </c:dLbl>
            <c:dLbl>
              <c:idx val="1"/>
              <c:layout>
                <c:manualLayout>
                  <c:x val="1.9444444444444445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05-4D5F-82F6-D18A742E3D64}"/>
                </c:ext>
              </c:extLst>
            </c:dLbl>
            <c:dLbl>
              <c:idx val="2"/>
              <c:layout>
                <c:manualLayout>
                  <c:x val="3.888888888888889E-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05-4D5F-82F6-D18A742E3D64}"/>
                </c:ext>
              </c:extLst>
            </c:dLbl>
            <c:dLbl>
              <c:idx val="3"/>
              <c:layout>
                <c:manualLayout>
                  <c:x val="4.166666666666672E-2"/>
                  <c:y val="-7.407407407407411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05-4D5F-82F6-D18A742E3D64}"/>
                </c:ext>
              </c:extLst>
            </c:dLbl>
            <c:dLbl>
              <c:idx val="4"/>
              <c:layout>
                <c:manualLayout>
                  <c:x val="0.05"/>
                  <c:y val="-3.70370370370370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105-4D5F-82F6-D18A742E3D64}"/>
                </c:ext>
              </c:extLst>
            </c:dLbl>
            <c:dLbl>
              <c:idx val="5"/>
              <c:layout>
                <c:manualLayout>
                  <c:x val="6.3888888888888884E-2"/>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105-4D5F-82F6-D18A742E3D64}"/>
                </c:ext>
              </c:extLst>
            </c:dLbl>
            <c:dLbl>
              <c:idx val="6"/>
              <c:layout>
                <c:manualLayout>
                  <c:x val="1.6666666666666666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105-4D5F-82F6-D18A742E3D64}"/>
                </c:ext>
              </c:extLst>
            </c:dLbl>
            <c:dLbl>
              <c:idx val="7"/>
              <c:layout>
                <c:manualLayout>
                  <c:x val="-5.2777777777777792E-2"/>
                  <c:y val="-8.4875562720133283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105-4D5F-82F6-D18A742E3D64}"/>
                </c:ext>
              </c:extLst>
            </c:dLbl>
            <c:dLbl>
              <c:idx val="8"/>
              <c:delete val="1"/>
              <c:extLst>
                <c:ext xmlns:c15="http://schemas.microsoft.com/office/drawing/2012/chart" uri="{CE6537A1-D6FC-4f65-9D91-7224C49458BB}"/>
                <c:ext xmlns:c16="http://schemas.microsoft.com/office/drawing/2014/chart" uri="{C3380CC4-5D6E-409C-BE32-E72D297353CC}">
                  <c16:uniqueId val="{00000011-F105-4D5F-82F6-D18A742E3D64}"/>
                </c:ext>
              </c:extLst>
            </c:dLbl>
            <c:dLbl>
              <c:idx val="9"/>
              <c:layout>
                <c:manualLayout>
                  <c:x val="-6.9444444444444461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F105-4D5F-82F6-D18A742E3D64}"/>
                </c:ext>
              </c:extLst>
            </c:dLbl>
            <c:dLbl>
              <c:idx val="10"/>
              <c:layout>
                <c:manualLayout>
                  <c:x val="-4.4444444444444467E-2"/>
                  <c:y val="-8.33333333333333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F105-4D5F-82F6-D18A742E3D6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gd name="adj1" fmla="val -22261"/>
                      <a:gd name="adj2" fmla="val 58620"/>
                    </a:avLst>
                  </a:prstGeom>
                  <a:pattFill prst="pct75">
                    <a:fgClr>
                      <a:schemeClr val="dk1">
                        <a:lumMod val="75000"/>
                        <a:lumOff val="25000"/>
                      </a:schemeClr>
                    </a:fgClr>
                    <a:bgClr>
                      <a:schemeClr val="dk1">
                        <a:lumMod val="65000"/>
                        <a:lumOff val="35000"/>
                      </a:schemeClr>
                    </a:bgClr>
                  </a:pattFill>
                  <a:ln>
                    <a:noFill/>
                  </a:ln>
                </c15:spPr>
              </c:ext>
            </c:extLst>
          </c:dLbls>
          <c:cat>
            <c:strRef>
              <c:f>'Proportion of Inspection Types '!$A$4:$A$15</c:f>
              <c:strCache>
                <c:ptCount val="11"/>
                <c:pt idx="0">
                  <c:v>Commercial Lodging</c:v>
                </c:pt>
                <c:pt idx="1">
                  <c:v>Complaints</c:v>
                </c:pt>
                <c:pt idx="2">
                  <c:v>Daycare Facility Inspection</c:v>
                </c:pt>
                <c:pt idx="3">
                  <c:v>Environmental Inspection</c:v>
                </c:pt>
                <c:pt idx="4">
                  <c:v>Follow Up</c:v>
                </c:pt>
                <c:pt idx="5">
                  <c:v>Pool/Spa</c:v>
                </c:pt>
                <c:pt idx="6">
                  <c:v>Retail Food Establishment</c:v>
                </c:pt>
                <c:pt idx="7">
                  <c:v>School Building Inspection</c:v>
                </c:pt>
                <c:pt idx="8">
                  <c:v>Tanning</c:v>
                </c:pt>
                <c:pt idx="9">
                  <c:v>Tattoo/Permanent Cosmetics</c:v>
                </c:pt>
                <c:pt idx="10">
                  <c:v>Temporary and Special Events</c:v>
                </c:pt>
              </c:strCache>
            </c:strRef>
          </c:cat>
          <c:val>
            <c:numRef>
              <c:f>'Proportion of Inspection Types '!$B$4:$B$15</c:f>
              <c:numCache>
                <c:formatCode>General</c:formatCode>
                <c:ptCount val="11"/>
                <c:pt idx="0">
                  <c:v>9</c:v>
                </c:pt>
                <c:pt idx="1">
                  <c:v>15</c:v>
                </c:pt>
                <c:pt idx="2">
                  <c:v>34</c:v>
                </c:pt>
                <c:pt idx="3">
                  <c:v>30</c:v>
                </c:pt>
                <c:pt idx="4">
                  <c:v>49</c:v>
                </c:pt>
                <c:pt idx="5">
                  <c:v>33</c:v>
                </c:pt>
                <c:pt idx="6">
                  <c:v>322</c:v>
                </c:pt>
                <c:pt idx="7">
                  <c:v>47</c:v>
                </c:pt>
                <c:pt idx="8">
                  <c:v>0</c:v>
                </c:pt>
                <c:pt idx="9">
                  <c:v>7</c:v>
                </c:pt>
                <c:pt idx="10">
                  <c:v>143</c:v>
                </c:pt>
              </c:numCache>
            </c:numRef>
          </c:val>
          <c:extLst>
            <c:ext xmlns:c16="http://schemas.microsoft.com/office/drawing/2014/chart" uri="{C3380CC4-5D6E-409C-BE32-E72D297353CC}">
              <c16:uniqueId val="{00000016-F105-4D5F-82F6-D18A742E3D64}"/>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FY25-26 Env Census Data.xlsx]Monthly Totals for Most Common !PivotTable16</c:name>
    <c:fmtId val="22"/>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a:solidFill>
                  <a:sysClr val="windowText" lastClr="000000"/>
                </a:solidFill>
              </a:rPr>
              <a:t>Monthly Totals for Most Common Inspection Categories</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99029126213594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17475728155338E-2"/>
              <c:y val="1.85858970230937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1844660194174803E-2"/>
              <c:y val="-2.2304832713754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9330899778304411E-2"/>
              <c:y val="-1.8587506951965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85922974767596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04382470119521E-2"/>
              <c:y val="-4.7808764940239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7607579771884103E-2"/>
              <c:y val="-1.1419055213738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4951520777730503E-2"/>
              <c:y val="-9.560271923458582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3.9840637450199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3120849933598934E-3"/>
              <c:y val="-5.577689243027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3120849933598934E-3"/>
              <c:y val="-9.96015936254980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5936254980079681E-2"/>
              <c:y val="-8.3665338645418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5936254980079681E-2"/>
              <c:y val="-0.2191235059760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624169986719787E-2"/>
              <c:y val="-9.36254980079681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624169986719837E-2"/>
              <c:y val="-0.141434262948207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624169986719886E-2"/>
              <c:y val="-5.17928286852590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62416998671969E-2"/>
              <c:y val="-0.159362549800796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0624169986719787E-2"/>
              <c:y val="-8.76494023904382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6560424966799467E-3"/>
              <c:y val="-6.37450199203187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2683089977830438E-2"/>
          <c:y val="0.1144565758276498"/>
          <c:w val="0.6629877302958489"/>
          <c:h val="0.74564470333401622"/>
        </c:manualLayout>
      </c:layout>
      <c:barChart>
        <c:barDir val="col"/>
        <c:grouping val="stacked"/>
        <c:varyColors val="0"/>
        <c:ser>
          <c:idx val="0"/>
          <c:order val="0"/>
          <c:tx>
            <c:strRef>
              <c:f>'Monthly Totals for Most Common '!$B$3:$B$4</c:f>
              <c:strCache>
                <c:ptCount val="1"/>
                <c:pt idx="0">
                  <c:v>Follow Up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0-9247-4E32-9901-122BC7CB7BD2}"/>
              </c:ext>
            </c:extLst>
          </c:dPt>
          <c:dPt>
            <c:idx val="4"/>
            <c:invertIfNegative val="0"/>
            <c:bubble3D val="0"/>
            <c:extLst>
              <c:ext xmlns:c16="http://schemas.microsoft.com/office/drawing/2014/chart" uri="{C3380CC4-5D6E-409C-BE32-E72D297353CC}">
                <c16:uniqueId val="{00000001-9247-4E32-9901-122BC7CB7BD2}"/>
              </c:ext>
            </c:extLst>
          </c:dPt>
          <c:dPt>
            <c:idx val="5"/>
            <c:invertIfNegative val="0"/>
            <c:bubble3D val="0"/>
            <c:extLst>
              <c:ext xmlns:c16="http://schemas.microsoft.com/office/drawing/2014/chart" uri="{C3380CC4-5D6E-409C-BE32-E72D297353CC}">
                <c16:uniqueId val="{00000002-9247-4E32-9901-122BC7CB7BD2}"/>
              </c:ext>
            </c:extLst>
          </c:dPt>
          <c:dPt>
            <c:idx val="6"/>
            <c:invertIfNegative val="0"/>
            <c:bubble3D val="0"/>
            <c:extLst>
              <c:ext xmlns:c16="http://schemas.microsoft.com/office/drawing/2014/chart" uri="{C3380CC4-5D6E-409C-BE32-E72D297353CC}">
                <c16:uniqueId val="{00000003-9247-4E32-9901-122BC7CB7BD2}"/>
              </c:ext>
            </c:extLst>
          </c:dPt>
          <c:dPt>
            <c:idx val="7"/>
            <c:invertIfNegative val="0"/>
            <c:bubble3D val="0"/>
            <c:extLst>
              <c:ext xmlns:c16="http://schemas.microsoft.com/office/drawing/2014/chart" uri="{C3380CC4-5D6E-409C-BE32-E72D297353CC}">
                <c16:uniqueId val="{00000004-9247-4E32-9901-122BC7CB7BD2}"/>
              </c:ext>
            </c:extLst>
          </c:dPt>
          <c:dPt>
            <c:idx val="8"/>
            <c:invertIfNegative val="0"/>
            <c:bubble3D val="0"/>
            <c:extLst>
              <c:ext xmlns:c16="http://schemas.microsoft.com/office/drawing/2014/chart" uri="{C3380CC4-5D6E-409C-BE32-E72D297353CC}">
                <c16:uniqueId val="{00000005-9247-4E32-9901-122BC7CB7BD2}"/>
              </c:ext>
            </c:extLst>
          </c:dPt>
          <c:dPt>
            <c:idx val="9"/>
            <c:invertIfNegative val="0"/>
            <c:bubble3D val="0"/>
            <c:extLst>
              <c:ext xmlns:c16="http://schemas.microsoft.com/office/drawing/2014/chart" uri="{C3380CC4-5D6E-409C-BE32-E72D297353CC}">
                <c16:uniqueId val="{00000006-9247-4E32-9901-122BC7CB7BD2}"/>
              </c:ext>
            </c:extLst>
          </c:dPt>
          <c:dPt>
            <c:idx val="10"/>
            <c:invertIfNegative val="0"/>
            <c:bubble3D val="0"/>
            <c:extLst>
              <c:ext xmlns:c16="http://schemas.microsoft.com/office/drawing/2014/chart" uri="{C3380CC4-5D6E-409C-BE32-E72D297353CC}">
                <c16:uniqueId val="{00000007-9247-4E32-9901-122BC7CB7BD2}"/>
              </c:ext>
            </c:extLst>
          </c:dPt>
          <c:dPt>
            <c:idx val="11"/>
            <c:invertIfNegative val="0"/>
            <c:bubble3D val="0"/>
            <c:extLst>
              <c:ext xmlns:c16="http://schemas.microsoft.com/office/drawing/2014/chart" uri="{C3380CC4-5D6E-409C-BE32-E72D297353CC}">
                <c16:uniqueId val="{00000008-9247-4E32-9901-122BC7CB7BD2}"/>
              </c:ext>
            </c:extLst>
          </c:dPt>
          <c:dLbls>
            <c:dLbl>
              <c:idx val="0"/>
              <c:layout>
                <c:manualLayout>
                  <c:x val="-1.69902912621359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7-4E32-9901-122BC7CB7BD2}"/>
                </c:ext>
              </c:extLst>
            </c:dLbl>
            <c:dLbl>
              <c:idx val="4"/>
              <c:layout>
                <c:manualLayout>
                  <c:x val="-1.9417475728155338E-2"/>
                  <c:y val="1.858589702309379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7-4E32-9901-122BC7CB7BD2}"/>
                </c:ext>
              </c:extLst>
            </c:dLbl>
            <c:dLbl>
              <c:idx val="5"/>
              <c:layout>
                <c:manualLayout>
                  <c:x val="-2.1844660194174803E-2"/>
                  <c:y val="-2.2304832713754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7-4E32-9901-122BC7CB7BD2}"/>
                </c:ext>
              </c:extLst>
            </c:dLbl>
            <c:dLbl>
              <c:idx val="6"/>
              <c:layout>
                <c:manualLayout>
                  <c:x val="2.9330899778304411E-2"/>
                  <c:y val="-1.8587506951965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7-4E32-9901-122BC7CB7BD2}"/>
                </c:ext>
              </c:extLst>
            </c:dLbl>
            <c:dLbl>
              <c:idx val="7"/>
              <c:delete val="1"/>
              <c:extLst>
                <c:ext xmlns:c15="http://schemas.microsoft.com/office/drawing/2012/chart" uri="{CE6537A1-D6FC-4f65-9D91-7224C49458BB}"/>
                <c:ext xmlns:c16="http://schemas.microsoft.com/office/drawing/2014/chart" uri="{C3380CC4-5D6E-409C-BE32-E72D297353CC}">
                  <c16:uniqueId val="{00000004-9247-4E32-9901-122BC7CB7BD2}"/>
                </c:ext>
              </c:extLst>
            </c:dLbl>
            <c:dLbl>
              <c:idx val="8"/>
              <c:delete val="1"/>
              <c:extLst>
                <c:ext xmlns:c15="http://schemas.microsoft.com/office/drawing/2012/chart" uri="{CE6537A1-D6FC-4f65-9D91-7224C49458BB}"/>
                <c:ext xmlns:c16="http://schemas.microsoft.com/office/drawing/2014/chart" uri="{C3380CC4-5D6E-409C-BE32-E72D297353CC}">
                  <c16:uniqueId val="{00000005-9247-4E32-9901-122BC7CB7BD2}"/>
                </c:ext>
              </c:extLst>
            </c:dLbl>
            <c:dLbl>
              <c:idx val="9"/>
              <c:layout>
                <c:manualLayout>
                  <c:x val="-1.85922974767596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7-4E32-9901-122BC7CB7BD2}"/>
                </c:ext>
              </c:extLst>
            </c:dLbl>
            <c:dLbl>
              <c:idx val="10"/>
              <c:layout>
                <c:manualLayout>
                  <c:x val="-2.3904382470119521E-2"/>
                  <c:y val="-4.7808764940239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7-4E32-9901-122BC7CB7BD2}"/>
                </c:ext>
              </c:extLst>
            </c:dLbl>
            <c:dLbl>
              <c:idx val="11"/>
              <c:delete val="1"/>
              <c:extLst>
                <c:ext xmlns:c15="http://schemas.microsoft.com/office/drawing/2012/chart" uri="{CE6537A1-D6FC-4f65-9D91-7224C49458BB}"/>
                <c:ext xmlns:c16="http://schemas.microsoft.com/office/drawing/2014/chart" uri="{C3380CC4-5D6E-409C-BE32-E72D297353CC}">
                  <c16:uniqueId val="{00000008-9247-4E32-9901-122BC7CB7B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Totals for Most Common '!$A$5:$A$17</c:f>
              <c:strCache>
                <c:ptCount val="12"/>
                <c:pt idx="0">
                  <c:v>JAN</c:v>
                </c:pt>
                <c:pt idx="1">
                  <c:v>FEB</c:v>
                </c:pt>
                <c:pt idx="2">
                  <c:v>MAR</c:v>
                </c:pt>
                <c:pt idx="3">
                  <c:v>APR</c:v>
                </c:pt>
                <c:pt idx="4">
                  <c:v>MAY</c:v>
                </c:pt>
                <c:pt idx="5">
                  <c:v>JUN</c:v>
                </c:pt>
                <c:pt idx="6">
                  <c:v>JULY</c:v>
                </c:pt>
                <c:pt idx="7">
                  <c:v>AUG</c:v>
                </c:pt>
                <c:pt idx="8">
                  <c:v>SEP</c:v>
                </c:pt>
                <c:pt idx="9">
                  <c:v>OCT</c:v>
                </c:pt>
                <c:pt idx="10">
                  <c:v>NOV</c:v>
                </c:pt>
                <c:pt idx="11">
                  <c:v>DEC</c:v>
                </c:pt>
              </c:strCache>
            </c:strRef>
          </c:cat>
          <c:val>
            <c:numRef>
              <c:f>'Monthly Totals for Most Common '!$B$5:$B$17</c:f>
              <c:numCache>
                <c:formatCode>General</c:formatCode>
                <c:ptCount val="12"/>
                <c:pt idx="0">
                  <c:v>5</c:v>
                </c:pt>
                <c:pt idx="1">
                  <c:v>12</c:v>
                </c:pt>
                <c:pt idx="2">
                  <c:v>7</c:v>
                </c:pt>
                <c:pt idx="3">
                  <c:v>15</c:v>
                </c:pt>
                <c:pt idx="4">
                  <c:v>4</c:v>
                </c:pt>
                <c:pt idx="5">
                  <c:v>1</c:v>
                </c:pt>
                <c:pt idx="6">
                  <c:v>1</c:v>
                </c:pt>
                <c:pt idx="7">
                  <c:v>0</c:v>
                </c:pt>
                <c:pt idx="8">
                  <c:v>0</c:v>
                </c:pt>
                <c:pt idx="9">
                  <c:v>3</c:v>
                </c:pt>
                <c:pt idx="10">
                  <c:v>1</c:v>
                </c:pt>
                <c:pt idx="11">
                  <c:v>0</c:v>
                </c:pt>
              </c:numCache>
            </c:numRef>
          </c:val>
          <c:extLst>
            <c:ext xmlns:c16="http://schemas.microsoft.com/office/drawing/2014/chart" uri="{C3380CC4-5D6E-409C-BE32-E72D297353CC}">
              <c16:uniqueId val="{00000009-9247-4E32-9901-122BC7CB7BD2}"/>
            </c:ext>
          </c:extLst>
        </c:ser>
        <c:ser>
          <c:idx val="1"/>
          <c:order val="1"/>
          <c:tx>
            <c:strRef>
              <c:f>'Monthly Totals for Most Common '!$C$3:$C$4</c:f>
              <c:strCache>
                <c:ptCount val="1"/>
                <c:pt idx="0">
                  <c:v>Retail Food Establishment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4"/>
            <c:invertIfNegative val="0"/>
            <c:bubble3D val="0"/>
            <c:extLst>
              <c:ext xmlns:c16="http://schemas.microsoft.com/office/drawing/2014/chart" uri="{C3380CC4-5D6E-409C-BE32-E72D297353CC}">
                <c16:uniqueId val="{0000000A-9247-4E32-9901-122BC7CB7BD2}"/>
              </c:ext>
            </c:extLst>
          </c:dPt>
          <c:dPt>
            <c:idx val="5"/>
            <c:invertIfNegative val="0"/>
            <c:bubble3D val="0"/>
            <c:extLst>
              <c:ext xmlns:c16="http://schemas.microsoft.com/office/drawing/2014/chart" uri="{C3380CC4-5D6E-409C-BE32-E72D297353CC}">
                <c16:uniqueId val="{0000000B-9247-4E32-9901-122BC7CB7BD2}"/>
              </c:ext>
            </c:extLst>
          </c:dPt>
          <c:dPt>
            <c:idx val="7"/>
            <c:invertIfNegative val="0"/>
            <c:bubble3D val="0"/>
            <c:extLst>
              <c:ext xmlns:c16="http://schemas.microsoft.com/office/drawing/2014/chart" uri="{C3380CC4-5D6E-409C-BE32-E72D297353CC}">
                <c16:uniqueId val="{0000000C-9247-4E32-9901-122BC7CB7BD2}"/>
              </c:ext>
            </c:extLst>
          </c:dPt>
          <c:dLbls>
            <c:dLbl>
              <c:idx val="4"/>
              <c:layout>
                <c:manualLayout>
                  <c:x val="1.7607579771884103E-2"/>
                  <c:y val="-1.1419055213738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7-4E32-9901-122BC7CB7BD2}"/>
                </c:ext>
              </c:extLst>
            </c:dLbl>
            <c:dLbl>
              <c:idx val="5"/>
              <c:layout>
                <c:manualLayout>
                  <c:x val="1.4951520777730503E-2"/>
                  <c:y val="-9.56027192345858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7-4E32-9901-122BC7CB7BD2}"/>
                </c:ext>
              </c:extLst>
            </c:dLbl>
            <c:dLbl>
              <c:idx val="7"/>
              <c:delete val="1"/>
              <c:extLst>
                <c:ext xmlns:c15="http://schemas.microsoft.com/office/drawing/2012/chart" uri="{CE6537A1-D6FC-4f65-9D91-7224C49458BB}"/>
                <c:ext xmlns:c16="http://schemas.microsoft.com/office/drawing/2014/chart" uri="{C3380CC4-5D6E-409C-BE32-E72D297353CC}">
                  <c16:uniqueId val="{0000000C-9247-4E32-9901-122BC7CB7B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Totals for Most Common '!$A$5:$A$17</c:f>
              <c:strCache>
                <c:ptCount val="12"/>
                <c:pt idx="0">
                  <c:v>JAN</c:v>
                </c:pt>
                <c:pt idx="1">
                  <c:v>FEB</c:v>
                </c:pt>
                <c:pt idx="2">
                  <c:v>MAR</c:v>
                </c:pt>
                <c:pt idx="3">
                  <c:v>APR</c:v>
                </c:pt>
                <c:pt idx="4">
                  <c:v>MAY</c:v>
                </c:pt>
                <c:pt idx="5">
                  <c:v>JUN</c:v>
                </c:pt>
                <c:pt idx="6">
                  <c:v>JULY</c:v>
                </c:pt>
                <c:pt idx="7">
                  <c:v>AUG</c:v>
                </c:pt>
                <c:pt idx="8">
                  <c:v>SEP</c:v>
                </c:pt>
                <c:pt idx="9">
                  <c:v>OCT</c:v>
                </c:pt>
                <c:pt idx="10">
                  <c:v>NOV</c:v>
                </c:pt>
                <c:pt idx="11">
                  <c:v>DEC</c:v>
                </c:pt>
              </c:strCache>
            </c:strRef>
          </c:cat>
          <c:val>
            <c:numRef>
              <c:f>'Monthly Totals for Most Common '!$C$5:$C$17</c:f>
              <c:numCache>
                <c:formatCode>General</c:formatCode>
                <c:ptCount val="12"/>
                <c:pt idx="0">
                  <c:v>40</c:v>
                </c:pt>
                <c:pt idx="1">
                  <c:v>50</c:v>
                </c:pt>
                <c:pt idx="2">
                  <c:v>57</c:v>
                </c:pt>
                <c:pt idx="3">
                  <c:v>39</c:v>
                </c:pt>
                <c:pt idx="4">
                  <c:v>9</c:v>
                </c:pt>
                <c:pt idx="5">
                  <c:v>8</c:v>
                </c:pt>
                <c:pt idx="6">
                  <c:v>9</c:v>
                </c:pt>
                <c:pt idx="7">
                  <c:v>0</c:v>
                </c:pt>
                <c:pt idx="8">
                  <c:v>32</c:v>
                </c:pt>
                <c:pt idx="9">
                  <c:v>21</c:v>
                </c:pt>
                <c:pt idx="10">
                  <c:v>34</c:v>
                </c:pt>
                <c:pt idx="11">
                  <c:v>23</c:v>
                </c:pt>
              </c:numCache>
            </c:numRef>
          </c:val>
          <c:extLst>
            <c:ext xmlns:c16="http://schemas.microsoft.com/office/drawing/2014/chart" uri="{C3380CC4-5D6E-409C-BE32-E72D297353CC}">
              <c16:uniqueId val="{0000000D-9247-4E32-9901-122BC7CB7BD2}"/>
            </c:ext>
          </c:extLst>
        </c:ser>
        <c:ser>
          <c:idx val="2"/>
          <c:order val="2"/>
          <c:tx>
            <c:strRef>
              <c:f>'Monthly Totals for Most Common '!$D$3:$D$4</c:f>
              <c:strCache>
                <c:ptCount val="1"/>
                <c:pt idx="0">
                  <c:v>Temporary and Special Events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E-9247-4E32-9901-122BC7CB7BD2}"/>
              </c:ext>
            </c:extLst>
          </c:dPt>
          <c:dPt>
            <c:idx val="1"/>
            <c:invertIfNegative val="0"/>
            <c:bubble3D val="0"/>
            <c:extLst>
              <c:ext xmlns:c16="http://schemas.microsoft.com/office/drawing/2014/chart" uri="{C3380CC4-5D6E-409C-BE32-E72D297353CC}">
                <c16:uniqueId val="{0000000F-9247-4E32-9901-122BC7CB7BD2}"/>
              </c:ext>
            </c:extLst>
          </c:dPt>
          <c:dPt>
            <c:idx val="2"/>
            <c:invertIfNegative val="0"/>
            <c:bubble3D val="0"/>
            <c:extLst>
              <c:ext xmlns:c16="http://schemas.microsoft.com/office/drawing/2014/chart" uri="{C3380CC4-5D6E-409C-BE32-E72D297353CC}">
                <c16:uniqueId val="{00000010-9247-4E32-9901-122BC7CB7BD2}"/>
              </c:ext>
            </c:extLst>
          </c:dPt>
          <c:dPt>
            <c:idx val="3"/>
            <c:invertIfNegative val="0"/>
            <c:bubble3D val="0"/>
            <c:extLst>
              <c:ext xmlns:c16="http://schemas.microsoft.com/office/drawing/2014/chart" uri="{C3380CC4-5D6E-409C-BE32-E72D297353CC}">
                <c16:uniqueId val="{00000011-9247-4E32-9901-122BC7CB7BD2}"/>
              </c:ext>
            </c:extLst>
          </c:dPt>
          <c:dPt>
            <c:idx val="4"/>
            <c:invertIfNegative val="0"/>
            <c:bubble3D val="0"/>
            <c:extLst>
              <c:ext xmlns:c16="http://schemas.microsoft.com/office/drawing/2014/chart" uri="{C3380CC4-5D6E-409C-BE32-E72D297353CC}">
                <c16:uniqueId val="{00000012-9247-4E32-9901-122BC7CB7BD2}"/>
              </c:ext>
            </c:extLst>
          </c:dPt>
          <c:dPt>
            <c:idx val="5"/>
            <c:invertIfNegative val="0"/>
            <c:bubble3D val="0"/>
            <c:extLst>
              <c:ext xmlns:c16="http://schemas.microsoft.com/office/drawing/2014/chart" uri="{C3380CC4-5D6E-409C-BE32-E72D297353CC}">
                <c16:uniqueId val="{00000013-9247-4E32-9901-122BC7CB7BD2}"/>
              </c:ext>
            </c:extLst>
          </c:dPt>
          <c:dPt>
            <c:idx val="6"/>
            <c:invertIfNegative val="0"/>
            <c:bubble3D val="0"/>
            <c:extLst>
              <c:ext xmlns:c16="http://schemas.microsoft.com/office/drawing/2014/chart" uri="{C3380CC4-5D6E-409C-BE32-E72D297353CC}">
                <c16:uniqueId val="{00000014-9247-4E32-9901-122BC7CB7BD2}"/>
              </c:ext>
            </c:extLst>
          </c:dPt>
          <c:dPt>
            <c:idx val="7"/>
            <c:invertIfNegative val="0"/>
            <c:bubble3D val="0"/>
            <c:extLst>
              <c:ext xmlns:c16="http://schemas.microsoft.com/office/drawing/2014/chart" uri="{C3380CC4-5D6E-409C-BE32-E72D297353CC}">
                <c16:uniqueId val="{00000015-9247-4E32-9901-122BC7CB7BD2}"/>
              </c:ext>
            </c:extLst>
          </c:dPt>
          <c:dPt>
            <c:idx val="8"/>
            <c:invertIfNegative val="0"/>
            <c:bubble3D val="0"/>
            <c:extLst>
              <c:ext xmlns:c16="http://schemas.microsoft.com/office/drawing/2014/chart" uri="{C3380CC4-5D6E-409C-BE32-E72D297353CC}">
                <c16:uniqueId val="{00000016-9247-4E32-9901-122BC7CB7BD2}"/>
              </c:ext>
            </c:extLst>
          </c:dPt>
          <c:dPt>
            <c:idx val="9"/>
            <c:invertIfNegative val="0"/>
            <c:bubble3D val="0"/>
            <c:extLst>
              <c:ext xmlns:c16="http://schemas.microsoft.com/office/drawing/2014/chart" uri="{C3380CC4-5D6E-409C-BE32-E72D297353CC}">
                <c16:uniqueId val="{00000017-9247-4E32-9901-122BC7CB7BD2}"/>
              </c:ext>
            </c:extLst>
          </c:dPt>
          <c:dPt>
            <c:idx val="10"/>
            <c:invertIfNegative val="0"/>
            <c:bubble3D val="0"/>
            <c:extLst>
              <c:ext xmlns:c16="http://schemas.microsoft.com/office/drawing/2014/chart" uri="{C3380CC4-5D6E-409C-BE32-E72D297353CC}">
                <c16:uniqueId val="{00000018-9247-4E32-9901-122BC7CB7BD2}"/>
              </c:ext>
            </c:extLst>
          </c:dPt>
          <c:dPt>
            <c:idx val="11"/>
            <c:invertIfNegative val="0"/>
            <c:bubble3D val="0"/>
            <c:extLst>
              <c:ext xmlns:c16="http://schemas.microsoft.com/office/drawing/2014/chart" uri="{C3380CC4-5D6E-409C-BE32-E72D297353CC}">
                <c16:uniqueId val="{00000019-9247-4E32-9901-122BC7CB7BD2}"/>
              </c:ext>
            </c:extLst>
          </c:dPt>
          <c:dLbls>
            <c:dLbl>
              <c:idx val="0"/>
              <c:layout>
                <c:manualLayout>
                  <c:x val="0"/>
                  <c:y val="-3.9840637450199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247-4E32-9901-122BC7CB7BD2}"/>
                </c:ext>
              </c:extLst>
            </c:dLbl>
            <c:dLbl>
              <c:idx val="1"/>
              <c:layout>
                <c:manualLayout>
                  <c:x val="-5.3120849933598934E-3"/>
                  <c:y val="-5.5776892430278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247-4E32-9901-122BC7CB7BD2}"/>
                </c:ext>
              </c:extLst>
            </c:dLbl>
            <c:dLbl>
              <c:idx val="2"/>
              <c:layout>
                <c:manualLayout>
                  <c:x val="-5.3120849933598934E-3"/>
                  <c:y val="-9.9601593625498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247-4E32-9901-122BC7CB7BD2}"/>
                </c:ext>
              </c:extLst>
            </c:dLbl>
            <c:dLbl>
              <c:idx val="3"/>
              <c:layout>
                <c:manualLayout>
                  <c:x val="1.5936254980079681E-2"/>
                  <c:y val="-8.3665338645418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247-4E32-9901-122BC7CB7BD2}"/>
                </c:ext>
              </c:extLst>
            </c:dLbl>
            <c:dLbl>
              <c:idx val="4"/>
              <c:layout>
                <c:manualLayout>
                  <c:x val="1.5936254980079681E-2"/>
                  <c:y val="-0.219123505976095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247-4E32-9901-122BC7CB7BD2}"/>
                </c:ext>
              </c:extLst>
            </c:dLbl>
            <c:dLbl>
              <c:idx val="5"/>
              <c:layout>
                <c:manualLayout>
                  <c:x val="-1.0624169986719787E-2"/>
                  <c:y val="-9.3625498007968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247-4E32-9901-122BC7CB7BD2}"/>
                </c:ext>
              </c:extLst>
            </c:dLbl>
            <c:dLbl>
              <c:idx val="6"/>
              <c:layout>
                <c:manualLayout>
                  <c:x val="1.0624169986719837E-2"/>
                  <c:y val="-0.141434262948207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247-4E32-9901-122BC7CB7BD2}"/>
                </c:ext>
              </c:extLst>
            </c:dLbl>
            <c:dLbl>
              <c:idx val="7"/>
              <c:delete val="1"/>
              <c:extLst>
                <c:ext xmlns:c15="http://schemas.microsoft.com/office/drawing/2012/chart" uri="{CE6537A1-D6FC-4f65-9D91-7224C49458BB}"/>
                <c:ext xmlns:c16="http://schemas.microsoft.com/office/drawing/2014/chart" uri="{C3380CC4-5D6E-409C-BE32-E72D297353CC}">
                  <c16:uniqueId val="{00000015-9247-4E32-9901-122BC7CB7BD2}"/>
                </c:ext>
              </c:extLst>
            </c:dLbl>
            <c:dLbl>
              <c:idx val="8"/>
              <c:layout>
                <c:manualLayout>
                  <c:x val="-1.0624169986719886E-2"/>
                  <c:y val="-5.1792828685259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247-4E32-9901-122BC7CB7BD2}"/>
                </c:ext>
              </c:extLst>
            </c:dLbl>
            <c:dLbl>
              <c:idx val="9"/>
              <c:layout>
                <c:manualLayout>
                  <c:x val="1.062416998671969E-2"/>
                  <c:y val="-0.159362549800796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247-4E32-9901-122BC7CB7BD2}"/>
                </c:ext>
              </c:extLst>
            </c:dLbl>
            <c:dLbl>
              <c:idx val="10"/>
              <c:layout>
                <c:manualLayout>
                  <c:x val="1.0624169986719787E-2"/>
                  <c:y val="-8.7649402390438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247-4E32-9901-122BC7CB7BD2}"/>
                </c:ext>
              </c:extLst>
            </c:dLbl>
            <c:dLbl>
              <c:idx val="11"/>
              <c:layout>
                <c:manualLayout>
                  <c:x val="2.6560424966799467E-3"/>
                  <c:y val="-6.3745019920318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9247-4E32-9901-122BC7CB7B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Totals for Most Common '!$A$5:$A$17</c:f>
              <c:strCache>
                <c:ptCount val="12"/>
                <c:pt idx="0">
                  <c:v>JAN</c:v>
                </c:pt>
                <c:pt idx="1">
                  <c:v>FEB</c:v>
                </c:pt>
                <c:pt idx="2">
                  <c:v>MAR</c:v>
                </c:pt>
                <c:pt idx="3">
                  <c:v>APR</c:v>
                </c:pt>
                <c:pt idx="4">
                  <c:v>MAY</c:v>
                </c:pt>
                <c:pt idx="5">
                  <c:v>JUN</c:v>
                </c:pt>
                <c:pt idx="6">
                  <c:v>JULY</c:v>
                </c:pt>
                <c:pt idx="7">
                  <c:v>AUG</c:v>
                </c:pt>
                <c:pt idx="8">
                  <c:v>SEP</c:v>
                </c:pt>
                <c:pt idx="9">
                  <c:v>OCT</c:v>
                </c:pt>
                <c:pt idx="10">
                  <c:v>NOV</c:v>
                </c:pt>
                <c:pt idx="11">
                  <c:v>DEC</c:v>
                </c:pt>
              </c:strCache>
            </c:strRef>
          </c:cat>
          <c:val>
            <c:numRef>
              <c:f>'Monthly Totals for Most Common '!$D$5:$D$17</c:f>
              <c:numCache>
                <c:formatCode>General</c:formatCode>
                <c:ptCount val="12"/>
                <c:pt idx="0">
                  <c:v>1</c:v>
                </c:pt>
                <c:pt idx="1">
                  <c:v>5</c:v>
                </c:pt>
                <c:pt idx="2">
                  <c:v>13</c:v>
                </c:pt>
                <c:pt idx="3">
                  <c:v>11</c:v>
                </c:pt>
                <c:pt idx="4">
                  <c:v>35</c:v>
                </c:pt>
                <c:pt idx="5">
                  <c:v>12</c:v>
                </c:pt>
                <c:pt idx="6">
                  <c:v>20</c:v>
                </c:pt>
                <c:pt idx="7">
                  <c:v>0</c:v>
                </c:pt>
                <c:pt idx="8">
                  <c:v>3</c:v>
                </c:pt>
                <c:pt idx="9">
                  <c:v>26</c:v>
                </c:pt>
                <c:pt idx="10">
                  <c:v>11</c:v>
                </c:pt>
                <c:pt idx="11">
                  <c:v>6</c:v>
                </c:pt>
              </c:numCache>
            </c:numRef>
          </c:val>
          <c:extLst>
            <c:ext xmlns:c16="http://schemas.microsoft.com/office/drawing/2014/chart" uri="{C3380CC4-5D6E-409C-BE32-E72D297353CC}">
              <c16:uniqueId val="{0000001A-9247-4E32-9901-122BC7CB7BD2}"/>
            </c:ext>
          </c:extLst>
        </c:ser>
        <c:dLbls>
          <c:showLegendKey val="0"/>
          <c:showVal val="0"/>
          <c:showCatName val="0"/>
          <c:showSerName val="0"/>
          <c:showPercent val="0"/>
          <c:showBubbleSize val="0"/>
        </c:dLbls>
        <c:gapWidth val="150"/>
        <c:overlap val="100"/>
        <c:axId val="1723694143"/>
        <c:axId val="1723690783"/>
      </c:barChart>
      <c:catAx>
        <c:axId val="172369414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3690783"/>
        <c:crosses val="autoZero"/>
        <c:auto val="1"/>
        <c:lblAlgn val="ctr"/>
        <c:lblOffset val="100"/>
        <c:noMultiLvlLbl val="0"/>
      </c:catAx>
      <c:valAx>
        <c:axId val="172369078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Inspection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23694143"/>
        <c:crosses val="autoZero"/>
        <c:crossBetween val="between"/>
      </c:valAx>
      <c:spPr>
        <a:noFill/>
        <a:ln>
          <a:noFill/>
        </a:ln>
        <a:effectLst/>
      </c:spPr>
    </c:plotArea>
    <c:legend>
      <c:legendPos val="r"/>
      <c:layout>
        <c:manualLayout>
          <c:xMode val="edge"/>
          <c:yMode val="edge"/>
          <c:x val="0.80091456476234291"/>
          <c:y val="0.39915259198548136"/>
          <c:w val="0.16240575140984964"/>
          <c:h val="0.2933281049032217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3</xdr:col>
      <xdr:colOff>467264</xdr:colOff>
      <xdr:row>19</xdr:row>
      <xdr:rowOff>47924</xdr:rowOff>
    </xdr:to>
    <mc:AlternateContent xmlns:mc="http://schemas.openxmlformats.org/markup-compatibility/2006" xmlns:a14="http://schemas.microsoft.com/office/drawing/2010/main">
      <mc:Choice Requires="a14">
        <xdr:graphicFrame macro="">
          <xdr:nvGraphicFramePr>
            <xdr:cNvPr id="3" name="Inspection Type">
              <a:extLst>
                <a:ext uri="{FF2B5EF4-FFF2-40B4-BE49-F238E27FC236}">
                  <a16:creationId xmlns:a16="http://schemas.microsoft.com/office/drawing/2014/main" id="{85160718-AEDD-78BD-6938-33907DB8FC9C}"/>
                </a:ext>
              </a:extLst>
            </xdr:cNvPr>
            <xdr:cNvGraphicFramePr/>
          </xdr:nvGraphicFramePr>
          <xdr:xfrm>
            <a:off x="0" y="0"/>
            <a:ext cx="0" cy="0"/>
          </xdr:xfrm>
          <a:graphic>
            <a:graphicData uri="http://schemas.microsoft.com/office/drawing/2010/slicer">
              <sle:slicer xmlns:sle="http://schemas.microsoft.com/office/drawing/2010/slicer" name="Inspection Type"/>
            </a:graphicData>
          </a:graphic>
        </xdr:graphicFrame>
      </mc:Choice>
      <mc:Fallback xmlns="">
        <xdr:sp macro="" textlink="">
          <xdr:nvSpPr>
            <xdr:cNvPr id="0" name=""/>
            <xdr:cNvSpPr>
              <a:spLocks noTextEdit="1"/>
            </xdr:cNvSpPr>
          </xdr:nvSpPr>
          <xdr:spPr>
            <a:xfrm>
              <a:off x="19050" y="0"/>
              <a:ext cx="2281327" cy="346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40710</xdr:rowOff>
    </xdr:from>
    <xdr:to>
      <xdr:col>3</xdr:col>
      <xdr:colOff>5735</xdr:colOff>
      <xdr:row>32</xdr:row>
      <xdr:rowOff>74851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85726D84-B2D3-4E5F-9067-5F625574109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3814767"/>
              <a:ext cx="1838848" cy="2011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602209</xdr:colOff>
      <xdr:row>0</xdr:row>
      <xdr:rowOff>0</xdr:rowOff>
    </xdr:from>
    <xdr:to>
      <xdr:col>19</xdr:col>
      <xdr:colOff>333721</xdr:colOff>
      <xdr:row>15</xdr:row>
      <xdr:rowOff>143496</xdr:rowOff>
    </xdr:to>
    <xdr:graphicFrame macro="">
      <xdr:nvGraphicFramePr>
        <xdr:cNvPr id="8" name="Chart 7">
          <a:extLst>
            <a:ext uri="{FF2B5EF4-FFF2-40B4-BE49-F238E27FC236}">
              <a16:creationId xmlns:a16="http://schemas.microsoft.com/office/drawing/2014/main" id="{D889A13D-354E-4A8D-8B1F-8BE8B13F1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332571</xdr:colOff>
      <xdr:row>0</xdr:row>
      <xdr:rowOff>0</xdr:rowOff>
    </xdr:from>
    <xdr:to>
      <xdr:col>26</xdr:col>
      <xdr:colOff>319453</xdr:colOff>
      <xdr:row>15</xdr:row>
      <xdr:rowOff>156967</xdr:rowOff>
    </xdr:to>
    <xdr:graphicFrame macro="">
      <xdr:nvGraphicFramePr>
        <xdr:cNvPr id="12" name="Chart 11">
          <a:extLst>
            <a:ext uri="{FF2B5EF4-FFF2-40B4-BE49-F238E27FC236}">
              <a16:creationId xmlns:a16="http://schemas.microsoft.com/office/drawing/2014/main" id="{8BBD09E2-2251-497F-BDCD-ACEAEA6DC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302376</xdr:colOff>
      <xdr:row>15</xdr:row>
      <xdr:rowOff>142697</xdr:rowOff>
    </xdr:from>
    <xdr:to>
      <xdr:col>15</xdr:col>
      <xdr:colOff>306430</xdr:colOff>
      <xdr:row>33</xdr:row>
      <xdr:rowOff>95436</xdr:rowOff>
    </xdr:to>
    <xdr:graphicFrame macro="">
      <xdr:nvGraphicFramePr>
        <xdr:cNvPr id="13" name="Chart 12">
          <a:extLst>
            <a:ext uri="{FF2B5EF4-FFF2-40B4-BE49-F238E27FC236}">
              <a16:creationId xmlns:a16="http://schemas.microsoft.com/office/drawing/2014/main" id="{C3420966-3953-4F36-BBB7-E6C30EC76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300336</xdr:colOff>
      <xdr:row>0</xdr:row>
      <xdr:rowOff>0</xdr:rowOff>
    </xdr:from>
    <xdr:to>
      <xdr:col>11</xdr:col>
      <xdr:colOff>593988</xdr:colOff>
      <xdr:row>15</xdr:row>
      <xdr:rowOff>142697</xdr:rowOff>
    </xdr:to>
    <xdr:graphicFrame macro="">
      <xdr:nvGraphicFramePr>
        <xdr:cNvPr id="16" name="Chart 15">
          <a:extLst>
            <a:ext uri="{FF2B5EF4-FFF2-40B4-BE49-F238E27FC236}">
              <a16:creationId xmlns:a16="http://schemas.microsoft.com/office/drawing/2014/main" id="{B85A2967-785F-49B3-A936-00ED05E4D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314604</xdr:colOff>
      <xdr:row>15</xdr:row>
      <xdr:rowOff>137849</xdr:rowOff>
    </xdr:from>
    <xdr:to>
      <xdr:col>26</xdr:col>
      <xdr:colOff>318656</xdr:colOff>
      <xdr:row>33</xdr:row>
      <xdr:rowOff>90588</xdr:rowOff>
    </xdr:to>
    <xdr:graphicFrame macro="">
      <xdr:nvGraphicFramePr>
        <xdr:cNvPr id="18" name="Chart 17">
          <a:extLst>
            <a:ext uri="{FF2B5EF4-FFF2-40B4-BE49-F238E27FC236}">
              <a16:creationId xmlns:a16="http://schemas.microsoft.com/office/drawing/2014/main" id="{4D556F06-C4A9-03AE-30CD-0AADF7DF1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9.689692245367" createdVersion="8" refreshedVersion="8" minRefreshableVersion="3" recordCount="132" xr:uid="{65754C6E-19FF-426F-B193-23F69E2105A5}">
  <cacheSource type="worksheet">
    <worksheetSource name="EnvCensus_1"/>
  </cacheSource>
  <cacheFields count="5">
    <cacheField name="Inspection Type" numFmtId="0">
      <sharedItems count="12">
        <s v="Retail Food Establishment"/>
        <s v="Commercial Lodging"/>
        <s v="Pool/Spa"/>
        <s v="Tanning"/>
        <s v="Tattoo/Permanent Cosmetics"/>
        <s v="Complaints"/>
        <s v="Environmental Inspection"/>
        <s v="Follow Up"/>
        <s v="Daycare Facility Inspection"/>
        <s v="School Building Inspection"/>
        <s v="Temporary and Special Events"/>
        <s v="GRAND TOTAL" u="1"/>
      </sharedItems>
    </cacheField>
    <cacheField name="YTD Total" numFmtId="0">
      <sharedItems containsSemiMixedTypes="0" containsString="0" containsNumber="1" containsInteger="1" minValue="0" maxValue="322"/>
    </cacheField>
    <cacheField name="Month" numFmtId="0">
      <sharedItems count="12">
        <s v="SEP"/>
        <s v="OCT"/>
        <s v="NOV"/>
        <s v="DEC"/>
        <s v="JAN"/>
        <s v="FEB"/>
        <s v="MAR"/>
        <s v="APR"/>
        <s v="MAY"/>
        <s v="JUN"/>
        <s v="JULY"/>
        <s v="AUG"/>
      </sharedItems>
    </cacheField>
    <cacheField name="Count" numFmtId="0">
      <sharedItems containsSemiMixedTypes="0" containsString="0" containsNumber="1" containsInteger="1" minValue="0" maxValue="57"/>
    </cacheField>
    <cacheField name="MonthNumber"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217102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n v="322"/>
    <x v="0"/>
    <n v="32"/>
    <n v="9"/>
  </r>
  <r>
    <x v="0"/>
    <n v="322"/>
    <x v="1"/>
    <n v="21"/>
    <n v="10"/>
  </r>
  <r>
    <x v="0"/>
    <n v="322"/>
    <x v="2"/>
    <n v="34"/>
    <n v="11"/>
  </r>
  <r>
    <x v="0"/>
    <n v="322"/>
    <x v="3"/>
    <n v="23"/>
    <n v="12"/>
  </r>
  <r>
    <x v="0"/>
    <n v="322"/>
    <x v="4"/>
    <n v="40"/>
    <n v="1"/>
  </r>
  <r>
    <x v="0"/>
    <n v="322"/>
    <x v="5"/>
    <n v="50"/>
    <n v="2"/>
  </r>
  <r>
    <x v="0"/>
    <n v="322"/>
    <x v="6"/>
    <n v="57"/>
    <n v="3"/>
  </r>
  <r>
    <x v="0"/>
    <n v="322"/>
    <x v="7"/>
    <n v="39"/>
    <n v="4"/>
  </r>
  <r>
    <x v="0"/>
    <n v="322"/>
    <x v="8"/>
    <n v="9"/>
    <n v="5"/>
  </r>
  <r>
    <x v="0"/>
    <n v="322"/>
    <x v="9"/>
    <n v="8"/>
    <n v="6"/>
  </r>
  <r>
    <x v="0"/>
    <n v="322"/>
    <x v="10"/>
    <n v="9"/>
    <n v="7"/>
  </r>
  <r>
    <x v="0"/>
    <n v="322"/>
    <x v="11"/>
    <n v="0"/>
    <n v="8"/>
  </r>
  <r>
    <x v="1"/>
    <n v="9"/>
    <x v="0"/>
    <n v="1"/>
    <n v="9"/>
  </r>
  <r>
    <x v="1"/>
    <n v="9"/>
    <x v="1"/>
    <n v="0"/>
    <n v="10"/>
  </r>
  <r>
    <x v="1"/>
    <n v="9"/>
    <x v="2"/>
    <n v="1"/>
    <n v="11"/>
  </r>
  <r>
    <x v="1"/>
    <n v="9"/>
    <x v="3"/>
    <n v="0"/>
    <n v="12"/>
  </r>
  <r>
    <x v="1"/>
    <n v="9"/>
    <x v="4"/>
    <n v="0"/>
    <n v="1"/>
  </r>
  <r>
    <x v="1"/>
    <n v="9"/>
    <x v="5"/>
    <n v="1"/>
    <n v="2"/>
  </r>
  <r>
    <x v="1"/>
    <n v="9"/>
    <x v="6"/>
    <n v="5"/>
    <n v="3"/>
  </r>
  <r>
    <x v="1"/>
    <n v="9"/>
    <x v="7"/>
    <n v="1"/>
    <n v="4"/>
  </r>
  <r>
    <x v="1"/>
    <n v="9"/>
    <x v="8"/>
    <n v="0"/>
    <n v="5"/>
  </r>
  <r>
    <x v="1"/>
    <n v="9"/>
    <x v="9"/>
    <n v="0"/>
    <n v="6"/>
  </r>
  <r>
    <x v="1"/>
    <n v="9"/>
    <x v="10"/>
    <n v="0"/>
    <n v="7"/>
  </r>
  <r>
    <x v="1"/>
    <n v="9"/>
    <x v="11"/>
    <n v="0"/>
    <n v="8"/>
  </r>
  <r>
    <x v="2"/>
    <n v="33"/>
    <x v="0"/>
    <n v="0"/>
    <n v="9"/>
  </r>
  <r>
    <x v="2"/>
    <n v="33"/>
    <x v="1"/>
    <n v="0"/>
    <n v="10"/>
  </r>
  <r>
    <x v="2"/>
    <n v="33"/>
    <x v="2"/>
    <n v="0"/>
    <n v="11"/>
  </r>
  <r>
    <x v="2"/>
    <n v="33"/>
    <x v="3"/>
    <n v="0"/>
    <n v="12"/>
  </r>
  <r>
    <x v="2"/>
    <n v="33"/>
    <x v="4"/>
    <n v="0"/>
    <n v="1"/>
  </r>
  <r>
    <x v="2"/>
    <n v="33"/>
    <x v="5"/>
    <n v="0"/>
    <n v="2"/>
  </r>
  <r>
    <x v="2"/>
    <n v="33"/>
    <x v="6"/>
    <n v="6"/>
    <n v="3"/>
  </r>
  <r>
    <x v="2"/>
    <n v="33"/>
    <x v="7"/>
    <n v="7"/>
    <n v="4"/>
  </r>
  <r>
    <x v="2"/>
    <n v="33"/>
    <x v="8"/>
    <n v="18"/>
    <n v="5"/>
  </r>
  <r>
    <x v="2"/>
    <n v="33"/>
    <x v="9"/>
    <n v="0"/>
    <n v="6"/>
  </r>
  <r>
    <x v="2"/>
    <n v="33"/>
    <x v="10"/>
    <n v="2"/>
    <n v="7"/>
  </r>
  <r>
    <x v="2"/>
    <n v="33"/>
    <x v="11"/>
    <n v="0"/>
    <n v="8"/>
  </r>
  <r>
    <x v="3"/>
    <n v="0"/>
    <x v="0"/>
    <n v="0"/>
    <n v="9"/>
  </r>
  <r>
    <x v="3"/>
    <n v="0"/>
    <x v="1"/>
    <n v="0"/>
    <n v="10"/>
  </r>
  <r>
    <x v="3"/>
    <n v="0"/>
    <x v="2"/>
    <n v="0"/>
    <n v="11"/>
  </r>
  <r>
    <x v="3"/>
    <n v="0"/>
    <x v="3"/>
    <n v="0"/>
    <n v="12"/>
  </r>
  <r>
    <x v="3"/>
    <n v="0"/>
    <x v="4"/>
    <n v="0"/>
    <n v="1"/>
  </r>
  <r>
    <x v="3"/>
    <n v="0"/>
    <x v="5"/>
    <n v="0"/>
    <n v="2"/>
  </r>
  <r>
    <x v="3"/>
    <n v="0"/>
    <x v="6"/>
    <n v="0"/>
    <n v="3"/>
  </r>
  <r>
    <x v="3"/>
    <n v="0"/>
    <x v="7"/>
    <n v="0"/>
    <n v="4"/>
  </r>
  <r>
    <x v="3"/>
    <n v="0"/>
    <x v="8"/>
    <n v="0"/>
    <n v="5"/>
  </r>
  <r>
    <x v="3"/>
    <n v="0"/>
    <x v="9"/>
    <n v="0"/>
    <n v="6"/>
  </r>
  <r>
    <x v="3"/>
    <n v="0"/>
    <x v="10"/>
    <n v="0"/>
    <n v="7"/>
  </r>
  <r>
    <x v="3"/>
    <n v="0"/>
    <x v="11"/>
    <n v="0"/>
    <n v="8"/>
  </r>
  <r>
    <x v="4"/>
    <n v="7"/>
    <x v="0"/>
    <n v="2"/>
    <n v="9"/>
  </r>
  <r>
    <x v="4"/>
    <n v="7"/>
    <x v="1"/>
    <n v="0"/>
    <n v="10"/>
  </r>
  <r>
    <x v="4"/>
    <n v="7"/>
    <x v="2"/>
    <n v="2"/>
    <n v="11"/>
  </r>
  <r>
    <x v="4"/>
    <n v="7"/>
    <x v="3"/>
    <n v="0"/>
    <n v="12"/>
  </r>
  <r>
    <x v="4"/>
    <n v="7"/>
    <x v="4"/>
    <n v="1"/>
    <n v="1"/>
  </r>
  <r>
    <x v="4"/>
    <n v="7"/>
    <x v="5"/>
    <n v="0"/>
    <n v="2"/>
  </r>
  <r>
    <x v="4"/>
    <n v="7"/>
    <x v="6"/>
    <n v="1"/>
    <n v="3"/>
  </r>
  <r>
    <x v="4"/>
    <n v="7"/>
    <x v="7"/>
    <n v="0"/>
    <n v="4"/>
  </r>
  <r>
    <x v="4"/>
    <n v="7"/>
    <x v="8"/>
    <n v="1"/>
    <n v="5"/>
  </r>
  <r>
    <x v="4"/>
    <n v="7"/>
    <x v="9"/>
    <n v="0"/>
    <n v="6"/>
  </r>
  <r>
    <x v="4"/>
    <n v="7"/>
    <x v="10"/>
    <n v="0"/>
    <n v="7"/>
  </r>
  <r>
    <x v="4"/>
    <n v="7"/>
    <x v="11"/>
    <n v="0"/>
    <n v="8"/>
  </r>
  <r>
    <x v="5"/>
    <n v="15"/>
    <x v="0"/>
    <n v="3"/>
    <n v="9"/>
  </r>
  <r>
    <x v="5"/>
    <n v="15"/>
    <x v="1"/>
    <n v="0"/>
    <n v="10"/>
  </r>
  <r>
    <x v="5"/>
    <n v="15"/>
    <x v="2"/>
    <n v="1"/>
    <n v="11"/>
  </r>
  <r>
    <x v="5"/>
    <n v="15"/>
    <x v="3"/>
    <n v="0"/>
    <n v="12"/>
  </r>
  <r>
    <x v="5"/>
    <n v="15"/>
    <x v="4"/>
    <n v="2"/>
    <n v="1"/>
  </r>
  <r>
    <x v="5"/>
    <n v="15"/>
    <x v="5"/>
    <n v="2"/>
    <n v="2"/>
  </r>
  <r>
    <x v="5"/>
    <n v="15"/>
    <x v="6"/>
    <n v="0"/>
    <n v="3"/>
  </r>
  <r>
    <x v="5"/>
    <n v="15"/>
    <x v="7"/>
    <n v="3"/>
    <n v="4"/>
  </r>
  <r>
    <x v="5"/>
    <n v="15"/>
    <x v="8"/>
    <n v="2"/>
    <n v="5"/>
  </r>
  <r>
    <x v="5"/>
    <n v="15"/>
    <x v="9"/>
    <n v="2"/>
    <n v="6"/>
  </r>
  <r>
    <x v="5"/>
    <n v="15"/>
    <x v="10"/>
    <n v="0"/>
    <n v="7"/>
  </r>
  <r>
    <x v="5"/>
    <n v="15"/>
    <x v="11"/>
    <n v="0"/>
    <n v="8"/>
  </r>
  <r>
    <x v="6"/>
    <n v="30"/>
    <x v="0"/>
    <n v="1"/>
    <n v="9"/>
  </r>
  <r>
    <x v="6"/>
    <n v="30"/>
    <x v="1"/>
    <n v="0"/>
    <n v="10"/>
  </r>
  <r>
    <x v="6"/>
    <n v="30"/>
    <x v="2"/>
    <n v="1"/>
    <n v="11"/>
  </r>
  <r>
    <x v="6"/>
    <n v="30"/>
    <x v="3"/>
    <n v="21"/>
    <n v="12"/>
  </r>
  <r>
    <x v="6"/>
    <n v="30"/>
    <x v="4"/>
    <n v="1"/>
    <n v="1"/>
  </r>
  <r>
    <x v="6"/>
    <n v="30"/>
    <x v="5"/>
    <n v="0"/>
    <n v="2"/>
  </r>
  <r>
    <x v="6"/>
    <n v="30"/>
    <x v="6"/>
    <n v="4"/>
    <n v="3"/>
  </r>
  <r>
    <x v="6"/>
    <n v="30"/>
    <x v="7"/>
    <n v="0"/>
    <n v="4"/>
  </r>
  <r>
    <x v="6"/>
    <n v="30"/>
    <x v="8"/>
    <n v="0"/>
    <n v="5"/>
  </r>
  <r>
    <x v="6"/>
    <n v="30"/>
    <x v="9"/>
    <n v="0"/>
    <n v="6"/>
  </r>
  <r>
    <x v="6"/>
    <n v="30"/>
    <x v="10"/>
    <n v="2"/>
    <n v="7"/>
  </r>
  <r>
    <x v="6"/>
    <n v="30"/>
    <x v="11"/>
    <n v="0"/>
    <n v="8"/>
  </r>
  <r>
    <x v="7"/>
    <n v="49"/>
    <x v="0"/>
    <n v="0"/>
    <n v="9"/>
  </r>
  <r>
    <x v="7"/>
    <n v="49"/>
    <x v="1"/>
    <n v="3"/>
    <n v="10"/>
  </r>
  <r>
    <x v="7"/>
    <n v="49"/>
    <x v="2"/>
    <n v="1"/>
    <n v="11"/>
  </r>
  <r>
    <x v="7"/>
    <n v="49"/>
    <x v="3"/>
    <n v="0"/>
    <n v="12"/>
  </r>
  <r>
    <x v="7"/>
    <n v="49"/>
    <x v="4"/>
    <n v="5"/>
    <n v="1"/>
  </r>
  <r>
    <x v="7"/>
    <n v="49"/>
    <x v="5"/>
    <n v="12"/>
    <n v="2"/>
  </r>
  <r>
    <x v="7"/>
    <n v="49"/>
    <x v="6"/>
    <n v="7"/>
    <n v="3"/>
  </r>
  <r>
    <x v="7"/>
    <n v="49"/>
    <x v="7"/>
    <n v="15"/>
    <n v="4"/>
  </r>
  <r>
    <x v="7"/>
    <n v="49"/>
    <x v="8"/>
    <n v="4"/>
    <n v="5"/>
  </r>
  <r>
    <x v="7"/>
    <n v="49"/>
    <x v="9"/>
    <n v="1"/>
    <n v="6"/>
  </r>
  <r>
    <x v="7"/>
    <n v="49"/>
    <x v="10"/>
    <n v="1"/>
    <n v="7"/>
  </r>
  <r>
    <x v="7"/>
    <n v="49"/>
    <x v="11"/>
    <n v="0"/>
    <n v="8"/>
  </r>
  <r>
    <x v="8"/>
    <n v="34"/>
    <x v="0"/>
    <n v="11"/>
    <n v="9"/>
  </r>
  <r>
    <x v="8"/>
    <n v="34"/>
    <x v="1"/>
    <n v="3"/>
    <n v="10"/>
  </r>
  <r>
    <x v="8"/>
    <n v="34"/>
    <x v="2"/>
    <n v="3"/>
    <n v="11"/>
  </r>
  <r>
    <x v="8"/>
    <n v="34"/>
    <x v="3"/>
    <n v="0"/>
    <n v="12"/>
  </r>
  <r>
    <x v="8"/>
    <n v="34"/>
    <x v="4"/>
    <n v="0"/>
    <n v="1"/>
  </r>
  <r>
    <x v="8"/>
    <n v="34"/>
    <x v="5"/>
    <n v="1"/>
    <n v="2"/>
  </r>
  <r>
    <x v="8"/>
    <n v="34"/>
    <x v="6"/>
    <n v="2"/>
    <n v="3"/>
  </r>
  <r>
    <x v="8"/>
    <n v="34"/>
    <x v="7"/>
    <n v="2"/>
    <n v="4"/>
  </r>
  <r>
    <x v="8"/>
    <n v="34"/>
    <x v="8"/>
    <n v="1"/>
    <n v="5"/>
  </r>
  <r>
    <x v="8"/>
    <n v="34"/>
    <x v="9"/>
    <n v="5"/>
    <n v="6"/>
  </r>
  <r>
    <x v="8"/>
    <n v="34"/>
    <x v="10"/>
    <n v="6"/>
    <n v="7"/>
  </r>
  <r>
    <x v="8"/>
    <n v="34"/>
    <x v="11"/>
    <n v="0"/>
    <n v="8"/>
  </r>
  <r>
    <x v="9"/>
    <n v="47"/>
    <x v="0"/>
    <n v="6"/>
    <n v="9"/>
  </r>
  <r>
    <x v="9"/>
    <n v="47"/>
    <x v="1"/>
    <n v="11"/>
    <n v="10"/>
  </r>
  <r>
    <x v="9"/>
    <n v="47"/>
    <x v="2"/>
    <n v="4"/>
    <n v="11"/>
  </r>
  <r>
    <x v="9"/>
    <n v="47"/>
    <x v="3"/>
    <n v="4"/>
    <n v="12"/>
  </r>
  <r>
    <x v="9"/>
    <n v="47"/>
    <x v="4"/>
    <n v="0"/>
    <n v="1"/>
  </r>
  <r>
    <x v="9"/>
    <n v="47"/>
    <x v="5"/>
    <n v="0"/>
    <n v="2"/>
  </r>
  <r>
    <x v="9"/>
    <n v="47"/>
    <x v="6"/>
    <n v="0"/>
    <n v="3"/>
  </r>
  <r>
    <x v="9"/>
    <n v="47"/>
    <x v="7"/>
    <n v="11"/>
    <n v="4"/>
  </r>
  <r>
    <x v="9"/>
    <n v="47"/>
    <x v="8"/>
    <n v="11"/>
    <n v="5"/>
  </r>
  <r>
    <x v="9"/>
    <n v="47"/>
    <x v="9"/>
    <n v="0"/>
    <n v="6"/>
  </r>
  <r>
    <x v="9"/>
    <n v="47"/>
    <x v="10"/>
    <n v="0"/>
    <n v="7"/>
  </r>
  <r>
    <x v="9"/>
    <n v="47"/>
    <x v="11"/>
    <n v="0"/>
    <n v="8"/>
  </r>
  <r>
    <x v="10"/>
    <n v="143"/>
    <x v="0"/>
    <n v="3"/>
    <n v="9"/>
  </r>
  <r>
    <x v="10"/>
    <n v="143"/>
    <x v="1"/>
    <n v="26"/>
    <n v="10"/>
  </r>
  <r>
    <x v="10"/>
    <n v="143"/>
    <x v="2"/>
    <n v="11"/>
    <n v="11"/>
  </r>
  <r>
    <x v="10"/>
    <n v="143"/>
    <x v="3"/>
    <n v="6"/>
    <n v="12"/>
  </r>
  <r>
    <x v="10"/>
    <n v="143"/>
    <x v="4"/>
    <n v="1"/>
    <n v="1"/>
  </r>
  <r>
    <x v="10"/>
    <n v="143"/>
    <x v="5"/>
    <n v="5"/>
    <n v="2"/>
  </r>
  <r>
    <x v="10"/>
    <n v="143"/>
    <x v="6"/>
    <n v="13"/>
    <n v="3"/>
  </r>
  <r>
    <x v="10"/>
    <n v="143"/>
    <x v="7"/>
    <n v="11"/>
    <n v="4"/>
  </r>
  <r>
    <x v="10"/>
    <n v="143"/>
    <x v="8"/>
    <n v="35"/>
    <n v="5"/>
  </r>
  <r>
    <x v="10"/>
    <n v="143"/>
    <x v="9"/>
    <n v="12"/>
    <n v="6"/>
  </r>
  <r>
    <x v="10"/>
    <n v="143"/>
    <x v="10"/>
    <n v="20"/>
    <n v="7"/>
  </r>
  <r>
    <x v="10"/>
    <n v="143"/>
    <x v="11"/>
    <n v="0"/>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E7081-92FB-4BBB-B6EB-507819B42D1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17" firstHeaderRow="1" firstDataRow="2" firstDataCol="1"/>
  <pivotFields count="5">
    <pivotField axis="axisCol" showAll="0" measureFilter="1">
      <items count="13">
        <item x="1"/>
        <item x="5"/>
        <item x="8"/>
        <item x="6"/>
        <item x="7"/>
        <item m="1" x="11"/>
        <item x="2"/>
        <item x="0"/>
        <item x="9"/>
        <item x="3"/>
        <item x="4"/>
        <item x="10"/>
        <item t="default"/>
      </items>
    </pivotField>
    <pivotField showAll="0"/>
    <pivotField axis="axisRow" showAll="0">
      <items count="13">
        <item x="3"/>
        <item x="2"/>
        <item x="1"/>
        <item x="0"/>
        <item x="11"/>
        <item x="10"/>
        <item x="9"/>
        <item x="8"/>
        <item x="7"/>
        <item x="6"/>
        <item x="5"/>
        <item x="4"/>
        <item t="default"/>
      </items>
    </pivotField>
    <pivotField dataField="1" showAll="0"/>
    <pivotField showAll="0"/>
  </pivotFields>
  <rowFields count="1">
    <field x="2"/>
  </rowFields>
  <rowItems count="13">
    <i>
      <x/>
    </i>
    <i>
      <x v="1"/>
    </i>
    <i>
      <x v="2"/>
    </i>
    <i>
      <x v="3"/>
    </i>
    <i>
      <x v="4"/>
    </i>
    <i>
      <x v="5"/>
    </i>
    <i>
      <x v="6"/>
    </i>
    <i>
      <x v="7"/>
    </i>
    <i>
      <x v="8"/>
    </i>
    <i>
      <x v="9"/>
    </i>
    <i>
      <x v="10"/>
    </i>
    <i>
      <x v="11"/>
    </i>
    <i t="grand">
      <x/>
    </i>
  </rowItems>
  <colFields count="1">
    <field x="0"/>
  </colFields>
  <colItems count="4">
    <i>
      <x v="4"/>
    </i>
    <i>
      <x v="7"/>
    </i>
    <i>
      <x v="11"/>
    </i>
    <i t="grand">
      <x/>
    </i>
  </colItems>
  <dataFields count="1">
    <dataField name="Sum of Count" fld="3" baseField="0" baseItem="0"/>
  </dataFields>
  <chartFormats count="22">
    <chartFormat chart="14" format="122" series="1">
      <pivotArea type="data" outline="0" fieldPosition="0">
        <references count="2">
          <reference field="4294967294" count="1" selected="0">
            <x v="0"/>
          </reference>
          <reference field="0" count="1" selected="0">
            <x v="4"/>
          </reference>
        </references>
      </pivotArea>
    </chartFormat>
    <chartFormat chart="14" format="123">
      <pivotArea type="data" outline="0" fieldPosition="0">
        <references count="3">
          <reference field="4294967294" count="1" selected="0">
            <x v="0"/>
          </reference>
          <reference field="0" count="1" selected="0">
            <x v="4"/>
          </reference>
          <reference field="2" count="1" selected="0">
            <x v="0"/>
          </reference>
        </references>
      </pivotArea>
    </chartFormat>
    <chartFormat chart="14" format="124">
      <pivotArea type="data" outline="0" fieldPosition="0">
        <references count="3">
          <reference field="4294967294" count="1" selected="0">
            <x v="0"/>
          </reference>
          <reference field="0" count="1" selected="0">
            <x v="4"/>
          </reference>
          <reference field="2" count="1" selected="0">
            <x v="1"/>
          </reference>
        </references>
      </pivotArea>
    </chartFormat>
    <chartFormat chart="14" format="125">
      <pivotArea type="data" outline="0" fieldPosition="0">
        <references count="3">
          <reference field="4294967294" count="1" selected="0">
            <x v="0"/>
          </reference>
          <reference field="0" count="1" selected="0">
            <x v="4"/>
          </reference>
          <reference field="2" count="1" selected="0">
            <x v="2"/>
          </reference>
        </references>
      </pivotArea>
    </chartFormat>
    <chartFormat chart="14" format="126">
      <pivotArea type="data" outline="0" fieldPosition="0">
        <references count="3">
          <reference field="4294967294" count="1" selected="0">
            <x v="0"/>
          </reference>
          <reference field="0" count="1" selected="0">
            <x v="4"/>
          </reference>
          <reference field="2" count="1" selected="0">
            <x v="3"/>
          </reference>
        </references>
      </pivotArea>
    </chartFormat>
    <chartFormat chart="14" format="127">
      <pivotArea type="data" outline="0" fieldPosition="0">
        <references count="3">
          <reference field="4294967294" count="1" selected="0">
            <x v="0"/>
          </reference>
          <reference field="0" count="1" selected="0">
            <x v="4"/>
          </reference>
          <reference field="2" count="1" selected="0">
            <x v="4"/>
          </reference>
        </references>
      </pivotArea>
    </chartFormat>
    <chartFormat chart="14" format="128">
      <pivotArea type="data" outline="0" fieldPosition="0">
        <references count="3">
          <reference field="4294967294" count="1" selected="0">
            <x v="0"/>
          </reference>
          <reference field="0" count="1" selected="0">
            <x v="4"/>
          </reference>
          <reference field="2" count="1" selected="0">
            <x v="5"/>
          </reference>
        </references>
      </pivotArea>
    </chartFormat>
    <chartFormat chart="14" format="129">
      <pivotArea type="data" outline="0" fieldPosition="0">
        <references count="3">
          <reference field="4294967294" count="1" selected="0">
            <x v="0"/>
          </reference>
          <reference field="0" count="1" selected="0">
            <x v="4"/>
          </reference>
          <reference field="2" count="1" selected="0">
            <x v="6"/>
          </reference>
        </references>
      </pivotArea>
    </chartFormat>
    <chartFormat chart="14" format="130">
      <pivotArea type="data" outline="0" fieldPosition="0">
        <references count="3">
          <reference field="4294967294" count="1" selected="0">
            <x v="0"/>
          </reference>
          <reference field="0" count="1" selected="0">
            <x v="4"/>
          </reference>
          <reference field="2" count="1" selected="0">
            <x v="7"/>
          </reference>
        </references>
      </pivotArea>
    </chartFormat>
    <chartFormat chart="14" format="131">
      <pivotArea type="data" outline="0" fieldPosition="0">
        <references count="3">
          <reference field="4294967294" count="1" selected="0">
            <x v="0"/>
          </reference>
          <reference field="0" count="1" selected="0">
            <x v="4"/>
          </reference>
          <reference field="2" count="1" selected="0">
            <x v="10"/>
          </reference>
        </references>
      </pivotArea>
    </chartFormat>
    <chartFormat chart="14" format="132">
      <pivotArea type="data" outline="0" fieldPosition="0">
        <references count="3">
          <reference field="4294967294" count="1" selected="0">
            <x v="0"/>
          </reference>
          <reference field="0" count="1" selected="0">
            <x v="4"/>
          </reference>
          <reference field="2" count="1" selected="0">
            <x v="11"/>
          </reference>
        </references>
      </pivotArea>
    </chartFormat>
    <chartFormat chart="14" format="133" series="1">
      <pivotArea type="data" outline="0" fieldPosition="0">
        <references count="2">
          <reference field="4294967294" count="1" selected="0">
            <x v="0"/>
          </reference>
          <reference field="0" count="1" selected="0">
            <x v="7"/>
          </reference>
        </references>
      </pivotArea>
    </chartFormat>
    <chartFormat chart="14" format="134">
      <pivotArea type="data" outline="0" fieldPosition="0">
        <references count="3">
          <reference field="4294967294" count="1" selected="0">
            <x v="0"/>
          </reference>
          <reference field="0" count="1" selected="0">
            <x v="7"/>
          </reference>
          <reference field="2" count="1" selected="0">
            <x v="4"/>
          </reference>
        </references>
      </pivotArea>
    </chartFormat>
    <chartFormat chart="14" format="135">
      <pivotArea type="data" outline="0" fieldPosition="0">
        <references count="3">
          <reference field="4294967294" count="1" selected="0">
            <x v="0"/>
          </reference>
          <reference field="0" count="1" selected="0">
            <x v="7"/>
          </reference>
          <reference field="2" count="1" selected="0">
            <x v="5"/>
          </reference>
        </references>
      </pivotArea>
    </chartFormat>
    <chartFormat chart="14" format="136">
      <pivotArea type="data" outline="0" fieldPosition="0">
        <references count="3">
          <reference field="4294967294" count="1" selected="0">
            <x v="0"/>
          </reference>
          <reference field="0" count="1" selected="0">
            <x v="7"/>
          </reference>
          <reference field="2" count="1" selected="0">
            <x v="6"/>
          </reference>
        </references>
      </pivotArea>
    </chartFormat>
    <chartFormat chart="14" format="137" series="1">
      <pivotArea type="data" outline="0" fieldPosition="0">
        <references count="2">
          <reference field="4294967294" count="1" selected="0">
            <x v="0"/>
          </reference>
          <reference field="0" count="1" selected="0">
            <x v="11"/>
          </reference>
        </references>
      </pivotArea>
    </chartFormat>
    <chartFormat chart="14" format="138">
      <pivotArea type="data" outline="0" fieldPosition="0">
        <references count="3">
          <reference field="4294967294" count="1" selected="0">
            <x v="0"/>
          </reference>
          <reference field="0" count="1" selected="0">
            <x v="11"/>
          </reference>
          <reference field="2" count="1" selected="0">
            <x v="0"/>
          </reference>
        </references>
      </pivotArea>
    </chartFormat>
    <chartFormat chart="14" format="139">
      <pivotArea type="data" outline="0" fieldPosition="0">
        <references count="3">
          <reference field="4294967294" count="1" selected="0">
            <x v="0"/>
          </reference>
          <reference field="0" count="1" selected="0">
            <x v="11"/>
          </reference>
          <reference field="2" count="1" selected="0">
            <x v="2"/>
          </reference>
        </references>
      </pivotArea>
    </chartFormat>
    <chartFormat chart="14" format="140">
      <pivotArea type="data" outline="0" fieldPosition="0">
        <references count="3">
          <reference field="4294967294" count="1" selected="0">
            <x v="0"/>
          </reference>
          <reference field="0" count="1" selected="0">
            <x v="11"/>
          </reference>
          <reference field="2" count="1" selected="0">
            <x v="3"/>
          </reference>
        </references>
      </pivotArea>
    </chartFormat>
    <chartFormat chart="14" format="141">
      <pivotArea type="data" outline="0" fieldPosition="0">
        <references count="3">
          <reference field="4294967294" count="1" selected="0">
            <x v="0"/>
          </reference>
          <reference field="0" count="1" selected="0">
            <x v="11"/>
          </reference>
          <reference field="2" count="1" selected="0">
            <x v="4"/>
          </reference>
        </references>
      </pivotArea>
    </chartFormat>
    <chartFormat chart="14" format="142">
      <pivotArea type="data" outline="0" fieldPosition="0">
        <references count="3">
          <reference field="4294967294" count="1" selected="0">
            <x v="0"/>
          </reference>
          <reference field="0" count="1" selected="0">
            <x v="11"/>
          </reference>
          <reference field="2" count="1" selected="0">
            <x v="10"/>
          </reference>
        </references>
      </pivotArea>
    </chartFormat>
    <chartFormat chart="14" format="143">
      <pivotArea type="data" outline="0" fieldPosition="0">
        <references count="3">
          <reference field="4294967294" count="1" selected="0">
            <x v="0"/>
          </reference>
          <reference field="0" count="1" selected="0">
            <x v="11"/>
          </reference>
          <reference field="2" count="1" selected="0">
            <x v="1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E26564-1BFD-4651-A907-43AC4145D86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5">
    <pivotField showAll="0"/>
    <pivotField showAll="0"/>
    <pivotField axis="axisRow" showAll="0">
      <items count="13">
        <item x="4"/>
        <item x="5"/>
        <item x="6"/>
        <item x="7"/>
        <item x="8"/>
        <item x="9"/>
        <item x="10"/>
        <item x="11"/>
        <item x="0"/>
        <item x="1"/>
        <item x="2"/>
        <item x="3"/>
        <item t="default"/>
      </items>
    </pivotField>
    <pivotField dataField="1"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Count" fld="3"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869AE6-692B-4217-99C0-FA67C99F1A4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5" firstHeaderRow="1" firstDataRow="1" firstDataCol="1"/>
  <pivotFields count="5">
    <pivotField axis="axisRow" showAll="0">
      <items count="13">
        <item x="1"/>
        <item x="5"/>
        <item x="8"/>
        <item x="6"/>
        <item x="7"/>
        <item h="1" m="1" x="11"/>
        <item x="2"/>
        <item x="0"/>
        <item x="9"/>
        <item x="3"/>
        <item x="4"/>
        <item x="10"/>
        <item t="default"/>
      </items>
    </pivotField>
    <pivotField showAll="0"/>
    <pivotField showAll="0"/>
    <pivotField dataField="1" showAll="0"/>
    <pivotField showAll="0"/>
  </pivotFields>
  <rowFields count="1">
    <field x="0"/>
  </rowFields>
  <rowItems count="12">
    <i>
      <x/>
    </i>
    <i>
      <x v="1"/>
    </i>
    <i>
      <x v="2"/>
    </i>
    <i>
      <x v="3"/>
    </i>
    <i>
      <x v="4"/>
    </i>
    <i>
      <x v="6"/>
    </i>
    <i>
      <x v="7"/>
    </i>
    <i>
      <x v="8"/>
    </i>
    <i>
      <x v="9"/>
    </i>
    <i>
      <x v="10"/>
    </i>
    <i>
      <x v="11"/>
    </i>
    <i t="grand">
      <x/>
    </i>
  </rowItems>
  <colItems count="1">
    <i/>
  </colItems>
  <dataFields count="1">
    <dataField name="Sum of Count" fld="3" baseField="0" baseItem="0"/>
  </dataFields>
  <chartFormats count="24">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0" count="1" selected="0">
            <x v="0"/>
          </reference>
        </references>
      </pivotArea>
    </chartFormat>
    <chartFormat chart="8" format="26">
      <pivotArea type="data" outline="0" fieldPosition="0">
        <references count="2">
          <reference field="4294967294" count="1" selected="0">
            <x v="0"/>
          </reference>
          <reference field="0" count="1" selected="0">
            <x v="1"/>
          </reference>
        </references>
      </pivotArea>
    </chartFormat>
    <chartFormat chart="8" format="27">
      <pivotArea type="data" outline="0" fieldPosition="0">
        <references count="2">
          <reference field="4294967294" count="1" selected="0">
            <x v="0"/>
          </reference>
          <reference field="0" count="1" selected="0">
            <x v="2"/>
          </reference>
        </references>
      </pivotArea>
    </chartFormat>
    <chartFormat chart="8" format="28">
      <pivotArea type="data" outline="0" fieldPosition="0">
        <references count="2">
          <reference field="4294967294" count="1" selected="0">
            <x v="0"/>
          </reference>
          <reference field="0" count="1" selected="0">
            <x v="3"/>
          </reference>
        </references>
      </pivotArea>
    </chartFormat>
    <chartFormat chart="8" format="29">
      <pivotArea type="data" outline="0" fieldPosition="0">
        <references count="2">
          <reference field="4294967294" count="1" selected="0">
            <x v="0"/>
          </reference>
          <reference field="0" count="1" selected="0">
            <x v="4"/>
          </reference>
        </references>
      </pivotArea>
    </chartFormat>
    <chartFormat chart="8" format="30">
      <pivotArea type="data" outline="0" fieldPosition="0">
        <references count="2">
          <reference field="4294967294" count="1" selected="0">
            <x v="0"/>
          </reference>
          <reference field="0" count="1" selected="0">
            <x v="6"/>
          </reference>
        </references>
      </pivotArea>
    </chartFormat>
    <chartFormat chart="8" format="31">
      <pivotArea type="data" outline="0" fieldPosition="0">
        <references count="2">
          <reference field="4294967294" count="1" selected="0">
            <x v="0"/>
          </reference>
          <reference field="0" count="1" selected="0">
            <x v="7"/>
          </reference>
        </references>
      </pivotArea>
    </chartFormat>
    <chartFormat chart="8" format="32">
      <pivotArea type="data" outline="0" fieldPosition="0">
        <references count="2">
          <reference field="4294967294" count="1" selected="0">
            <x v="0"/>
          </reference>
          <reference field="0" count="1" selected="0">
            <x v="8"/>
          </reference>
        </references>
      </pivotArea>
    </chartFormat>
    <chartFormat chart="8" format="33">
      <pivotArea type="data" outline="0" fieldPosition="0">
        <references count="2">
          <reference field="4294967294" count="1" selected="0">
            <x v="0"/>
          </reference>
          <reference field="0" count="1" selected="0">
            <x v="9"/>
          </reference>
        </references>
      </pivotArea>
    </chartFormat>
    <chartFormat chart="8" format="34">
      <pivotArea type="data" outline="0" fieldPosition="0">
        <references count="2">
          <reference field="4294967294" count="1" selected="0">
            <x v="0"/>
          </reference>
          <reference field="0" count="1" selected="0">
            <x v="10"/>
          </reference>
        </references>
      </pivotArea>
    </chartFormat>
    <chartFormat chart="8" format="35">
      <pivotArea type="data" outline="0" fieldPosition="0">
        <references count="2">
          <reference field="4294967294" count="1" selected="0">
            <x v="0"/>
          </reference>
          <reference field="0" count="1" selected="0">
            <x v="11"/>
          </reference>
        </references>
      </pivotArea>
    </chartFormat>
    <chartFormat chart="11" format="48" series="1">
      <pivotArea type="data" outline="0" fieldPosition="0">
        <references count="1">
          <reference field="4294967294" count="1" selected="0">
            <x v="0"/>
          </reference>
        </references>
      </pivotArea>
    </chartFormat>
    <chartFormat chart="11" format="49">
      <pivotArea type="data" outline="0" fieldPosition="0">
        <references count="2">
          <reference field="4294967294" count="1" selected="0">
            <x v="0"/>
          </reference>
          <reference field="0" count="1" selected="0">
            <x v="0"/>
          </reference>
        </references>
      </pivotArea>
    </chartFormat>
    <chartFormat chart="11" format="50">
      <pivotArea type="data" outline="0" fieldPosition="0">
        <references count="2">
          <reference field="4294967294" count="1" selected="0">
            <x v="0"/>
          </reference>
          <reference field="0" count="1" selected="0">
            <x v="1"/>
          </reference>
        </references>
      </pivotArea>
    </chartFormat>
    <chartFormat chart="11" format="51">
      <pivotArea type="data" outline="0" fieldPosition="0">
        <references count="2">
          <reference field="4294967294" count="1" selected="0">
            <x v="0"/>
          </reference>
          <reference field="0" count="1" selected="0">
            <x v="2"/>
          </reference>
        </references>
      </pivotArea>
    </chartFormat>
    <chartFormat chart="11" format="52">
      <pivotArea type="data" outline="0" fieldPosition="0">
        <references count="2">
          <reference field="4294967294" count="1" selected="0">
            <x v="0"/>
          </reference>
          <reference field="0" count="1" selected="0">
            <x v="3"/>
          </reference>
        </references>
      </pivotArea>
    </chartFormat>
    <chartFormat chart="11" format="53">
      <pivotArea type="data" outline="0" fieldPosition="0">
        <references count="2">
          <reference field="4294967294" count="1" selected="0">
            <x v="0"/>
          </reference>
          <reference field="0" count="1" selected="0">
            <x v="4"/>
          </reference>
        </references>
      </pivotArea>
    </chartFormat>
    <chartFormat chart="11" format="54">
      <pivotArea type="data" outline="0" fieldPosition="0">
        <references count="2">
          <reference field="4294967294" count="1" selected="0">
            <x v="0"/>
          </reference>
          <reference field="0" count="1" selected="0">
            <x v="6"/>
          </reference>
        </references>
      </pivotArea>
    </chartFormat>
    <chartFormat chart="11" format="55">
      <pivotArea type="data" outline="0" fieldPosition="0">
        <references count="2">
          <reference field="4294967294" count="1" selected="0">
            <x v="0"/>
          </reference>
          <reference field="0" count="1" selected="0">
            <x v="7"/>
          </reference>
        </references>
      </pivotArea>
    </chartFormat>
    <chartFormat chart="11" format="56">
      <pivotArea type="data" outline="0" fieldPosition="0">
        <references count="2">
          <reference field="4294967294" count="1" selected="0">
            <x v="0"/>
          </reference>
          <reference field="0" count="1" selected="0">
            <x v="8"/>
          </reference>
        </references>
      </pivotArea>
    </chartFormat>
    <chartFormat chart="11" format="57">
      <pivotArea type="data" outline="0" fieldPosition="0">
        <references count="2">
          <reference field="4294967294" count="1" selected="0">
            <x v="0"/>
          </reference>
          <reference field="0" count="1" selected="0">
            <x v="9"/>
          </reference>
        </references>
      </pivotArea>
    </chartFormat>
    <chartFormat chart="11" format="58">
      <pivotArea type="data" outline="0" fieldPosition="0">
        <references count="2">
          <reference field="4294967294" count="1" selected="0">
            <x v="0"/>
          </reference>
          <reference field="0" count="1" selected="0">
            <x v="10"/>
          </reference>
        </references>
      </pivotArea>
    </chartFormat>
    <chartFormat chart="11" format="59">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8B80A-22E4-40EB-A20D-7C3919601F2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rowPageCount="1" colPageCount="1"/>
  <pivotFields count="5">
    <pivotField axis="axisPage" multipleItemSelectionAllowed="1" showAll="0">
      <items count="13">
        <item h="1" x="1"/>
        <item h="1" x="5"/>
        <item h="1" x="8"/>
        <item h="1" x="6"/>
        <item h="1" x="7"/>
        <item h="1" m="1" x="11"/>
        <item h="1" x="2"/>
        <item x="0"/>
        <item h="1" x="9"/>
        <item h="1" x="3"/>
        <item h="1" x="4"/>
        <item h="1" x="10"/>
        <item t="default"/>
      </items>
    </pivotField>
    <pivotField showAll="0"/>
    <pivotField axis="axisRow" showAll="0">
      <items count="13">
        <item x="4"/>
        <item x="5"/>
        <item x="6"/>
        <item x="7"/>
        <item x="8"/>
        <item x="9"/>
        <item x="10"/>
        <item x="11"/>
        <item x="0"/>
        <item x="1"/>
        <item x="2"/>
        <item x="3"/>
        <item t="default"/>
      </items>
    </pivotField>
    <pivotField dataField="1" showAll="0"/>
    <pivotField showAll="0"/>
  </pivotFields>
  <rowFields count="1">
    <field x="2"/>
  </rowFields>
  <rowItems count="13">
    <i>
      <x/>
    </i>
    <i>
      <x v="1"/>
    </i>
    <i>
      <x v="2"/>
    </i>
    <i>
      <x v="3"/>
    </i>
    <i>
      <x v="4"/>
    </i>
    <i>
      <x v="5"/>
    </i>
    <i>
      <x v="6"/>
    </i>
    <i>
      <x v="7"/>
    </i>
    <i>
      <x v="8"/>
    </i>
    <i>
      <x v="9"/>
    </i>
    <i>
      <x v="10"/>
    </i>
    <i>
      <x v="11"/>
    </i>
    <i t="grand">
      <x/>
    </i>
  </rowItems>
  <colItems count="1">
    <i/>
  </colItems>
  <pageFields count="1">
    <pageField fld="0" hier="-1"/>
  </pageFields>
  <dataFields count="1">
    <dataField name="Sum of Count" fld="3" baseField="0" baseItem="0"/>
  </dataFields>
  <chartFormats count="1">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BFBB16-EB2D-40B7-B8A7-20CE2BCFC20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E17" firstHeaderRow="1" firstDataRow="2" firstDataCol="1"/>
  <pivotFields count="5">
    <pivotField axis="axisCol" showAll="0" measureFilter="1">
      <items count="13">
        <item x="1"/>
        <item x="5"/>
        <item x="8"/>
        <item x="6"/>
        <item x="7"/>
        <item m="1" x="11"/>
        <item x="2"/>
        <item x="0"/>
        <item x="9"/>
        <item x="3"/>
        <item x="4"/>
        <item x="10"/>
        <item t="default"/>
      </items>
    </pivotField>
    <pivotField showAll="0"/>
    <pivotField axis="axisRow" showAll="0">
      <items count="13">
        <item x="4"/>
        <item x="5"/>
        <item x="6"/>
        <item x="7"/>
        <item x="8"/>
        <item x="9"/>
        <item x="10"/>
        <item x="11"/>
        <item x="0"/>
        <item x="1"/>
        <item x="2"/>
        <item x="3"/>
        <item t="default"/>
      </items>
    </pivotField>
    <pivotField dataField="1" showAll="0"/>
    <pivotField showAll="0"/>
  </pivotFields>
  <rowFields count="1">
    <field x="2"/>
  </rowFields>
  <rowItems count="13">
    <i>
      <x/>
    </i>
    <i>
      <x v="1"/>
    </i>
    <i>
      <x v="2"/>
    </i>
    <i>
      <x v="3"/>
    </i>
    <i>
      <x v="4"/>
    </i>
    <i>
      <x v="5"/>
    </i>
    <i>
      <x v="6"/>
    </i>
    <i>
      <x v="7"/>
    </i>
    <i>
      <x v="8"/>
    </i>
    <i>
      <x v="9"/>
    </i>
    <i>
      <x v="10"/>
    </i>
    <i>
      <x v="11"/>
    </i>
    <i t="grand">
      <x/>
    </i>
  </rowItems>
  <colFields count="1">
    <field x="0"/>
  </colFields>
  <colItems count="4">
    <i>
      <x v="4"/>
    </i>
    <i>
      <x v="7"/>
    </i>
    <i>
      <x v="11"/>
    </i>
    <i t="grand">
      <x/>
    </i>
  </colItems>
  <dataFields count="1">
    <dataField name="Sum of Count" fld="3" baseField="0" baseItem="0"/>
  </dataFields>
  <chartFormats count="108">
    <chartFormat chart="14" format="67" series="1">
      <pivotArea type="data" outline="0" fieldPosition="0">
        <references count="2">
          <reference field="4294967294" count="1" selected="0">
            <x v="0"/>
          </reference>
          <reference field="0" count="1" selected="0">
            <x v="4"/>
          </reference>
        </references>
      </pivotArea>
    </chartFormat>
    <chartFormat chart="14" format="68">
      <pivotArea type="data" outline="0" fieldPosition="0">
        <references count="3">
          <reference field="4294967294" count="1" selected="0">
            <x v="0"/>
          </reference>
          <reference field="0" count="1" selected="0">
            <x v="4"/>
          </reference>
          <reference field="2" count="1" selected="0">
            <x v="0"/>
          </reference>
        </references>
      </pivotArea>
    </chartFormat>
    <chartFormat chart="14" format="69">
      <pivotArea type="data" outline="0" fieldPosition="0">
        <references count="3">
          <reference field="4294967294" count="1" selected="0">
            <x v="0"/>
          </reference>
          <reference field="0" count="1" selected="0">
            <x v="4"/>
          </reference>
          <reference field="2" count="1" selected="0">
            <x v="4"/>
          </reference>
        </references>
      </pivotArea>
    </chartFormat>
    <chartFormat chart="14" format="70">
      <pivotArea type="data" outline="0" fieldPosition="0">
        <references count="3">
          <reference field="4294967294" count="1" selected="0">
            <x v="0"/>
          </reference>
          <reference field="0" count="1" selected="0">
            <x v="4"/>
          </reference>
          <reference field="2" count="1" selected="0">
            <x v="5"/>
          </reference>
        </references>
      </pivotArea>
    </chartFormat>
    <chartFormat chart="14" format="71">
      <pivotArea type="data" outline="0" fieldPosition="0">
        <references count="3">
          <reference field="4294967294" count="1" selected="0">
            <x v="0"/>
          </reference>
          <reference field="0" count="1" selected="0">
            <x v="4"/>
          </reference>
          <reference field="2" count="1" selected="0">
            <x v="6"/>
          </reference>
        </references>
      </pivotArea>
    </chartFormat>
    <chartFormat chart="14" format="72">
      <pivotArea type="data" outline="0" fieldPosition="0">
        <references count="3">
          <reference field="4294967294" count="1" selected="0">
            <x v="0"/>
          </reference>
          <reference field="0" count="1" selected="0">
            <x v="4"/>
          </reference>
          <reference field="2" count="1" selected="0">
            <x v="7"/>
          </reference>
        </references>
      </pivotArea>
    </chartFormat>
    <chartFormat chart="14" format="73">
      <pivotArea type="data" outline="0" fieldPosition="0">
        <references count="3">
          <reference field="4294967294" count="1" selected="0">
            <x v="0"/>
          </reference>
          <reference field="0" count="1" selected="0">
            <x v="4"/>
          </reference>
          <reference field="2" count="1" selected="0">
            <x v="8"/>
          </reference>
        </references>
      </pivotArea>
    </chartFormat>
    <chartFormat chart="14" format="74">
      <pivotArea type="data" outline="0" fieldPosition="0">
        <references count="3">
          <reference field="4294967294" count="1" selected="0">
            <x v="0"/>
          </reference>
          <reference field="0" count="1" selected="0">
            <x v="4"/>
          </reference>
          <reference field="2" count="1" selected="0">
            <x v="9"/>
          </reference>
        </references>
      </pivotArea>
    </chartFormat>
    <chartFormat chart="14" format="75">
      <pivotArea type="data" outline="0" fieldPosition="0">
        <references count="3">
          <reference field="4294967294" count="1" selected="0">
            <x v="0"/>
          </reference>
          <reference field="0" count="1" selected="0">
            <x v="4"/>
          </reference>
          <reference field="2" count="1" selected="0">
            <x v="10"/>
          </reference>
        </references>
      </pivotArea>
    </chartFormat>
    <chartFormat chart="14" format="76">
      <pivotArea type="data" outline="0" fieldPosition="0">
        <references count="3">
          <reference field="4294967294" count="1" selected="0">
            <x v="0"/>
          </reference>
          <reference field="0" count="1" selected="0">
            <x v="4"/>
          </reference>
          <reference field="2" count="1" selected="0">
            <x v="11"/>
          </reference>
        </references>
      </pivotArea>
    </chartFormat>
    <chartFormat chart="14" format="77" series="1">
      <pivotArea type="data" outline="0" fieldPosition="0">
        <references count="2">
          <reference field="4294967294" count="1" selected="0">
            <x v="0"/>
          </reference>
          <reference field="0" count="1" selected="0">
            <x v="7"/>
          </reference>
        </references>
      </pivotArea>
    </chartFormat>
    <chartFormat chart="14" format="78">
      <pivotArea type="data" outline="0" fieldPosition="0">
        <references count="3">
          <reference field="4294967294" count="1" selected="0">
            <x v="0"/>
          </reference>
          <reference field="0" count="1" selected="0">
            <x v="7"/>
          </reference>
          <reference field="2" count="1" selected="0">
            <x v="4"/>
          </reference>
        </references>
      </pivotArea>
    </chartFormat>
    <chartFormat chart="14" format="79">
      <pivotArea type="data" outline="0" fieldPosition="0">
        <references count="3">
          <reference field="4294967294" count="1" selected="0">
            <x v="0"/>
          </reference>
          <reference field="0" count="1" selected="0">
            <x v="7"/>
          </reference>
          <reference field="2" count="1" selected="0">
            <x v="5"/>
          </reference>
        </references>
      </pivotArea>
    </chartFormat>
    <chartFormat chart="14" format="80">
      <pivotArea type="data" outline="0" fieldPosition="0">
        <references count="3">
          <reference field="4294967294" count="1" selected="0">
            <x v="0"/>
          </reference>
          <reference field="0" count="1" selected="0">
            <x v="7"/>
          </reference>
          <reference field="2" count="1" selected="0">
            <x v="7"/>
          </reference>
        </references>
      </pivotArea>
    </chartFormat>
    <chartFormat chart="14" format="81" series="1">
      <pivotArea type="data" outline="0" fieldPosition="0">
        <references count="2">
          <reference field="4294967294" count="1" selected="0">
            <x v="0"/>
          </reference>
          <reference field="0" count="1" selected="0">
            <x v="11"/>
          </reference>
        </references>
      </pivotArea>
    </chartFormat>
    <chartFormat chart="14" format="82">
      <pivotArea type="data" outline="0" fieldPosition="0">
        <references count="3">
          <reference field="4294967294" count="1" selected="0">
            <x v="0"/>
          </reference>
          <reference field="0" count="1" selected="0">
            <x v="11"/>
          </reference>
          <reference field="2" count="1" selected="0">
            <x v="0"/>
          </reference>
        </references>
      </pivotArea>
    </chartFormat>
    <chartFormat chart="14" format="83">
      <pivotArea type="data" outline="0" fieldPosition="0">
        <references count="3">
          <reference field="4294967294" count="1" selected="0">
            <x v="0"/>
          </reference>
          <reference field="0" count="1" selected="0">
            <x v="11"/>
          </reference>
          <reference field="2" count="1" selected="0">
            <x v="1"/>
          </reference>
        </references>
      </pivotArea>
    </chartFormat>
    <chartFormat chart="14" format="84">
      <pivotArea type="data" outline="0" fieldPosition="0">
        <references count="3">
          <reference field="4294967294" count="1" selected="0">
            <x v="0"/>
          </reference>
          <reference field="0" count="1" selected="0">
            <x v="11"/>
          </reference>
          <reference field="2" count="1" selected="0">
            <x v="2"/>
          </reference>
        </references>
      </pivotArea>
    </chartFormat>
    <chartFormat chart="14" format="85">
      <pivotArea type="data" outline="0" fieldPosition="0">
        <references count="3">
          <reference field="4294967294" count="1" selected="0">
            <x v="0"/>
          </reference>
          <reference field="0" count="1" selected="0">
            <x v="11"/>
          </reference>
          <reference field="2" count="1" selected="0">
            <x v="3"/>
          </reference>
        </references>
      </pivotArea>
    </chartFormat>
    <chartFormat chart="14" format="86">
      <pivotArea type="data" outline="0" fieldPosition="0">
        <references count="3">
          <reference field="4294967294" count="1" selected="0">
            <x v="0"/>
          </reference>
          <reference field="0" count="1" selected="0">
            <x v="11"/>
          </reference>
          <reference field="2" count="1" selected="0">
            <x v="4"/>
          </reference>
        </references>
      </pivotArea>
    </chartFormat>
    <chartFormat chart="14" format="87">
      <pivotArea type="data" outline="0" fieldPosition="0">
        <references count="3">
          <reference field="4294967294" count="1" selected="0">
            <x v="0"/>
          </reference>
          <reference field="0" count="1" selected="0">
            <x v="11"/>
          </reference>
          <reference field="2" count="1" selected="0">
            <x v="5"/>
          </reference>
        </references>
      </pivotArea>
    </chartFormat>
    <chartFormat chart="14" format="88">
      <pivotArea type="data" outline="0" fieldPosition="0">
        <references count="3">
          <reference field="4294967294" count="1" selected="0">
            <x v="0"/>
          </reference>
          <reference field="0" count="1" selected="0">
            <x v="11"/>
          </reference>
          <reference field="2" count="1" selected="0">
            <x v="6"/>
          </reference>
        </references>
      </pivotArea>
    </chartFormat>
    <chartFormat chart="14" format="89">
      <pivotArea type="data" outline="0" fieldPosition="0">
        <references count="3">
          <reference field="4294967294" count="1" selected="0">
            <x v="0"/>
          </reference>
          <reference field="0" count="1" selected="0">
            <x v="11"/>
          </reference>
          <reference field="2" count="1" selected="0">
            <x v="7"/>
          </reference>
        </references>
      </pivotArea>
    </chartFormat>
    <chartFormat chart="14" format="90">
      <pivotArea type="data" outline="0" fieldPosition="0">
        <references count="3">
          <reference field="4294967294" count="1" selected="0">
            <x v="0"/>
          </reference>
          <reference field="0" count="1" selected="0">
            <x v="11"/>
          </reference>
          <reference field="2" count="1" selected="0">
            <x v="8"/>
          </reference>
        </references>
      </pivotArea>
    </chartFormat>
    <chartFormat chart="14" format="91">
      <pivotArea type="data" outline="0" fieldPosition="0">
        <references count="3">
          <reference field="4294967294" count="1" selected="0">
            <x v="0"/>
          </reference>
          <reference field="0" count="1" selected="0">
            <x v="11"/>
          </reference>
          <reference field="2" count="1" selected="0">
            <x v="9"/>
          </reference>
        </references>
      </pivotArea>
    </chartFormat>
    <chartFormat chart="14" format="92">
      <pivotArea type="data" outline="0" fieldPosition="0">
        <references count="3">
          <reference field="4294967294" count="1" selected="0">
            <x v="0"/>
          </reference>
          <reference field="0" count="1" selected="0">
            <x v="11"/>
          </reference>
          <reference field="2" count="1" selected="0">
            <x v="10"/>
          </reference>
        </references>
      </pivotArea>
    </chartFormat>
    <chartFormat chart="14" format="93">
      <pivotArea type="data" outline="0" fieldPosition="0">
        <references count="3">
          <reference field="4294967294" count="1" selected="0">
            <x v="0"/>
          </reference>
          <reference field="0" count="1" selected="0">
            <x v="11"/>
          </reference>
          <reference field="2" count="1" selected="0">
            <x v="11"/>
          </reference>
        </references>
      </pivotArea>
    </chartFormat>
    <chartFormat chart="17" format="121" series="1">
      <pivotArea type="data" outline="0" fieldPosition="0">
        <references count="2">
          <reference field="4294967294" count="1" selected="0">
            <x v="0"/>
          </reference>
          <reference field="0" count="1" selected="0">
            <x v="4"/>
          </reference>
        </references>
      </pivotArea>
    </chartFormat>
    <chartFormat chart="17" format="122">
      <pivotArea type="data" outline="0" fieldPosition="0">
        <references count="3">
          <reference field="4294967294" count="1" selected="0">
            <x v="0"/>
          </reference>
          <reference field="0" count="1" selected="0">
            <x v="4"/>
          </reference>
          <reference field="2" count="1" selected="0">
            <x v="0"/>
          </reference>
        </references>
      </pivotArea>
    </chartFormat>
    <chartFormat chart="17" format="123">
      <pivotArea type="data" outline="0" fieldPosition="0">
        <references count="3">
          <reference field="4294967294" count="1" selected="0">
            <x v="0"/>
          </reference>
          <reference field="0" count="1" selected="0">
            <x v="4"/>
          </reference>
          <reference field="2" count="1" selected="0">
            <x v="4"/>
          </reference>
        </references>
      </pivotArea>
    </chartFormat>
    <chartFormat chart="17" format="124">
      <pivotArea type="data" outline="0" fieldPosition="0">
        <references count="3">
          <reference field="4294967294" count="1" selected="0">
            <x v="0"/>
          </reference>
          <reference field="0" count="1" selected="0">
            <x v="4"/>
          </reference>
          <reference field="2" count="1" selected="0">
            <x v="5"/>
          </reference>
        </references>
      </pivotArea>
    </chartFormat>
    <chartFormat chart="17" format="125">
      <pivotArea type="data" outline="0" fieldPosition="0">
        <references count="3">
          <reference field="4294967294" count="1" selected="0">
            <x v="0"/>
          </reference>
          <reference field="0" count="1" selected="0">
            <x v="4"/>
          </reference>
          <reference field="2" count="1" selected="0">
            <x v="6"/>
          </reference>
        </references>
      </pivotArea>
    </chartFormat>
    <chartFormat chart="17" format="126">
      <pivotArea type="data" outline="0" fieldPosition="0">
        <references count="3">
          <reference field="4294967294" count="1" selected="0">
            <x v="0"/>
          </reference>
          <reference field="0" count="1" selected="0">
            <x v="4"/>
          </reference>
          <reference field="2" count="1" selected="0">
            <x v="7"/>
          </reference>
        </references>
      </pivotArea>
    </chartFormat>
    <chartFormat chart="17" format="127">
      <pivotArea type="data" outline="0" fieldPosition="0">
        <references count="3">
          <reference field="4294967294" count="1" selected="0">
            <x v="0"/>
          </reference>
          <reference field="0" count="1" selected="0">
            <x v="4"/>
          </reference>
          <reference field="2" count="1" selected="0">
            <x v="8"/>
          </reference>
        </references>
      </pivotArea>
    </chartFormat>
    <chartFormat chart="17" format="128">
      <pivotArea type="data" outline="0" fieldPosition="0">
        <references count="3">
          <reference field="4294967294" count="1" selected="0">
            <x v="0"/>
          </reference>
          <reference field="0" count="1" selected="0">
            <x v="4"/>
          </reference>
          <reference field="2" count="1" selected="0">
            <x v="9"/>
          </reference>
        </references>
      </pivotArea>
    </chartFormat>
    <chartFormat chart="17" format="129">
      <pivotArea type="data" outline="0" fieldPosition="0">
        <references count="3">
          <reference field="4294967294" count="1" selected="0">
            <x v="0"/>
          </reference>
          <reference field="0" count="1" selected="0">
            <x v="4"/>
          </reference>
          <reference field="2" count="1" selected="0">
            <x v="10"/>
          </reference>
        </references>
      </pivotArea>
    </chartFormat>
    <chartFormat chart="17" format="130">
      <pivotArea type="data" outline="0" fieldPosition="0">
        <references count="3">
          <reference field="4294967294" count="1" selected="0">
            <x v="0"/>
          </reference>
          <reference field="0" count="1" selected="0">
            <x v="4"/>
          </reference>
          <reference field="2" count="1" selected="0">
            <x v="11"/>
          </reference>
        </references>
      </pivotArea>
    </chartFormat>
    <chartFormat chart="17" format="131" series="1">
      <pivotArea type="data" outline="0" fieldPosition="0">
        <references count="2">
          <reference field="4294967294" count="1" selected="0">
            <x v="0"/>
          </reference>
          <reference field="0" count="1" selected="0">
            <x v="7"/>
          </reference>
        </references>
      </pivotArea>
    </chartFormat>
    <chartFormat chart="17" format="132">
      <pivotArea type="data" outline="0" fieldPosition="0">
        <references count="3">
          <reference field="4294967294" count="1" selected="0">
            <x v="0"/>
          </reference>
          <reference field="0" count="1" selected="0">
            <x v="7"/>
          </reference>
          <reference field="2" count="1" selected="0">
            <x v="4"/>
          </reference>
        </references>
      </pivotArea>
    </chartFormat>
    <chartFormat chart="17" format="133">
      <pivotArea type="data" outline="0" fieldPosition="0">
        <references count="3">
          <reference field="4294967294" count="1" selected="0">
            <x v="0"/>
          </reference>
          <reference field="0" count="1" selected="0">
            <x v="7"/>
          </reference>
          <reference field="2" count="1" selected="0">
            <x v="5"/>
          </reference>
        </references>
      </pivotArea>
    </chartFormat>
    <chartFormat chart="17" format="134">
      <pivotArea type="data" outline="0" fieldPosition="0">
        <references count="3">
          <reference field="4294967294" count="1" selected="0">
            <x v="0"/>
          </reference>
          <reference field="0" count="1" selected="0">
            <x v="7"/>
          </reference>
          <reference field="2" count="1" selected="0">
            <x v="7"/>
          </reference>
        </references>
      </pivotArea>
    </chartFormat>
    <chartFormat chart="17" format="135" series="1">
      <pivotArea type="data" outline="0" fieldPosition="0">
        <references count="2">
          <reference field="4294967294" count="1" selected="0">
            <x v="0"/>
          </reference>
          <reference field="0" count="1" selected="0">
            <x v="11"/>
          </reference>
        </references>
      </pivotArea>
    </chartFormat>
    <chartFormat chart="17" format="136">
      <pivotArea type="data" outline="0" fieldPosition="0">
        <references count="3">
          <reference field="4294967294" count="1" selected="0">
            <x v="0"/>
          </reference>
          <reference field="0" count="1" selected="0">
            <x v="11"/>
          </reference>
          <reference field="2" count="1" selected="0">
            <x v="0"/>
          </reference>
        </references>
      </pivotArea>
    </chartFormat>
    <chartFormat chart="17" format="137">
      <pivotArea type="data" outline="0" fieldPosition="0">
        <references count="3">
          <reference field="4294967294" count="1" selected="0">
            <x v="0"/>
          </reference>
          <reference field="0" count="1" selected="0">
            <x v="11"/>
          </reference>
          <reference field="2" count="1" selected="0">
            <x v="1"/>
          </reference>
        </references>
      </pivotArea>
    </chartFormat>
    <chartFormat chart="17" format="138">
      <pivotArea type="data" outline="0" fieldPosition="0">
        <references count="3">
          <reference field="4294967294" count="1" selected="0">
            <x v="0"/>
          </reference>
          <reference field="0" count="1" selected="0">
            <x v="11"/>
          </reference>
          <reference field="2" count="1" selected="0">
            <x v="2"/>
          </reference>
        </references>
      </pivotArea>
    </chartFormat>
    <chartFormat chart="17" format="139">
      <pivotArea type="data" outline="0" fieldPosition="0">
        <references count="3">
          <reference field="4294967294" count="1" selected="0">
            <x v="0"/>
          </reference>
          <reference field="0" count="1" selected="0">
            <x v="11"/>
          </reference>
          <reference field="2" count="1" selected="0">
            <x v="3"/>
          </reference>
        </references>
      </pivotArea>
    </chartFormat>
    <chartFormat chart="17" format="140">
      <pivotArea type="data" outline="0" fieldPosition="0">
        <references count="3">
          <reference field="4294967294" count="1" selected="0">
            <x v="0"/>
          </reference>
          <reference field="0" count="1" selected="0">
            <x v="11"/>
          </reference>
          <reference field="2" count="1" selected="0">
            <x v="4"/>
          </reference>
        </references>
      </pivotArea>
    </chartFormat>
    <chartFormat chart="17" format="141">
      <pivotArea type="data" outline="0" fieldPosition="0">
        <references count="3">
          <reference field="4294967294" count="1" selected="0">
            <x v="0"/>
          </reference>
          <reference field="0" count="1" selected="0">
            <x v="11"/>
          </reference>
          <reference field="2" count="1" selected="0">
            <x v="5"/>
          </reference>
        </references>
      </pivotArea>
    </chartFormat>
    <chartFormat chart="17" format="142">
      <pivotArea type="data" outline="0" fieldPosition="0">
        <references count="3">
          <reference field="4294967294" count="1" selected="0">
            <x v="0"/>
          </reference>
          <reference field="0" count="1" selected="0">
            <x v="11"/>
          </reference>
          <reference field="2" count="1" selected="0">
            <x v="6"/>
          </reference>
        </references>
      </pivotArea>
    </chartFormat>
    <chartFormat chart="17" format="143">
      <pivotArea type="data" outline="0" fieldPosition="0">
        <references count="3">
          <reference field="4294967294" count="1" selected="0">
            <x v="0"/>
          </reference>
          <reference field="0" count="1" selected="0">
            <x v="11"/>
          </reference>
          <reference field="2" count="1" selected="0">
            <x v="7"/>
          </reference>
        </references>
      </pivotArea>
    </chartFormat>
    <chartFormat chart="17" format="144">
      <pivotArea type="data" outline="0" fieldPosition="0">
        <references count="3">
          <reference field="4294967294" count="1" selected="0">
            <x v="0"/>
          </reference>
          <reference field="0" count="1" selected="0">
            <x v="11"/>
          </reference>
          <reference field="2" count="1" selected="0">
            <x v="8"/>
          </reference>
        </references>
      </pivotArea>
    </chartFormat>
    <chartFormat chart="17" format="145">
      <pivotArea type="data" outline="0" fieldPosition="0">
        <references count="3">
          <reference field="4294967294" count="1" selected="0">
            <x v="0"/>
          </reference>
          <reference field="0" count="1" selected="0">
            <x v="11"/>
          </reference>
          <reference field="2" count="1" selected="0">
            <x v="9"/>
          </reference>
        </references>
      </pivotArea>
    </chartFormat>
    <chartFormat chart="17" format="146">
      <pivotArea type="data" outline="0" fieldPosition="0">
        <references count="3">
          <reference field="4294967294" count="1" selected="0">
            <x v="0"/>
          </reference>
          <reference field="0" count="1" selected="0">
            <x v="11"/>
          </reference>
          <reference field="2" count="1" selected="0">
            <x v="10"/>
          </reference>
        </references>
      </pivotArea>
    </chartFormat>
    <chartFormat chart="17" format="147">
      <pivotArea type="data" outline="0" fieldPosition="0">
        <references count="3">
          <reference field="4294967294" count="1" selected="0">
            <x v="0"/>
          </reference>
          <reference field="0" count="1" selected="0">
            <x v="11"/>
          </reference>
          <reference field="2" count="1" selected="0">
            <x v="11"/>
          </reference>
        </references>
      </pivotArea>
    </chartFormat>
    <chartFormat chart="21" format="175" series="1">
      <pivotArea type="data" outline="0" fieldPosition="0">
        <references count="2">
          <reference field="4294967294" count="1" selected="0">
            <x v="0"/>
          </reference>
          <reference field="0" count="1" selected="0">
            <x v="4"/>
          </reference>
        </references>
      </pivotArea>
    </chartFormat>
    <chartFormat chart="21" format="176">
      <pivotArea type="data" outline="0" fieldPosition="0">
        <references count="3">
          <reference field="4294967294" count="1" selected="0">
            <x v="0"/>
          </reference>
          <reference field="0" count="1" selected="0">
            <x v="4"/>
          </reference>
          <reference field="2" count="1" selected="0">
            <x v="0"/>
          </reference>
        </references>
      </pivotArea>
    </chartFormat>
    <chartFormat chart="21" format="177">
      <pivotArea type="data" outline="0" fieldPosition="0">
        <references count="3">
          <reference field="4294967294" count="1" selected="0">
            <x v="0"/>
          </reference>
          <reference field="0" count="1" selected="0">
            <x v="4"/>
          </reference>
          <reference field="2" count="1" selected="0">
            <x v="4"/>
          </reference>
        </references>
      </pivotArea>
    </chartFormat>
    <chartFormat chart="21" format="178">
      <pivotArea type="data" outline="0" fieldPosition="0">
        <references count="3">
          <reference field="4294967294" count="1" selected="0">
            <x v="0"/>
          </reference>
          <reference field="0" count="1" selected="0">
            <x v="4"/>
          </reference>
          <reference field="2" count="1" selected="0">
            <x v="5"/>
          </reference>
        </references>
      </pivotArea>
    </chartFormat>
    <chartFormat chart="21" format="179">
      <pivotArea type="data" outline="0" fieldPosition="0">
        <references count="3">
          <reference field="4294967294" count="1" selected="0">
            <x v="0"/>
          </reference>
          <reference field="0" count="1" selected="0">
            <x v="4"/>
          </reference>
          <reference field="2" count="1" selected="0">
            <x v="6"/>
          </reference>
        </references>
      </pivotArea>
    </chartFormat>
    <chartFormat chart="21" format="180">
      <pivotArea type="data" outline="0" fieldPosition="0">
        <references count="3">
          <reference field="4294967294" count="1" selected="0">
            <x v="0"/>
          </reference>
          <reference field="0" count="1" selected="0">
            <x v="4"/>
          </reference>
          <reference field="2" count="1" selected="0">
            <x v="7"/>
          </reference>
        </references>
      </pivotArea>
    </chartFormat>
    <chartFormat chart="21" format="181">
      <pivotArea type="data" outline="0" fieldPosition="0">
        <references count="3">
          <reference field="4294967294" count="1" selected="0">
            <x v="0"/>
          </reference>
          <reference field="0" count="1" selected="0">
            <x v="4"/>
          </reference>
          <reference field="2" count="1" selected="0">
            <x v="8"/>
          </reference>
        </references>
      </pivotArea>
    </chartFormat>
    <chartFormat chart="21" format="182">
      <pivotArea type="data" outline="0" fieldPosition="0">
        <references count="3">
          <reference field="4294967294" count="1" selected="0">
            <x v="0"/>
          </reference>
          <reference field="0" count="1" selected="0">
            <x v="4"/>
          </reference>
          <reference field="2" count="1" selected="0">
            <x v="9"/>
          </reference>
        </references>
      </pivotArea>
    </chartFormat>
    <chartFormat chart="21" format="183">
      <pivotArea type="data" outline="0" fieldPosition="0">
        <references count="3">
          <reference field="4294967294" count="1" selected="0">
            <x v="0"/>
          </reference>
          <reference field="0" count="1" selected="0">
            <x v="4"/>
          </reference>
          <reference field="2" count="1" selected="0">
            <x v="10"/>
          </reference>
        </references>
      </pivotArea>
    </chartFormat>
    <chartFormat chart="21" format="184">
      <pivotArea type="data" outline="0" fieldPosition="0">
        <references count="3">
          <reference field="4294967294" count="1" selected="0">
            <x v="0"/>
          </reference>
          <reference field="0" count="1" selected="0">
            <x v="4"/>
          </reference>
          <reference field="2" count="1" selected="0">
            <x v="11"/>
          </reference>
        </references>
      </pivotArea>
    </chartFormat>
    <chartFormat chart="21" format="185" series="1">
      <pivotArea type="data" outline="0" fieldPosition="0">
        <references count="2">
          <reference field="4294967294" count="1" selected="0">
            <x v="0"/>
          </reference>
          <reference field="0" count="1" selected="0">
            <x v="7"/>
          </reference>
        </references>
      </pivotArea>
    </chartFormat>
    <chartFormat chart="21" format="186">
      <pivotArea type="data" outline="0" fieldPosition="0">
        <references count="3">
          <reference field="4294967294" count="1" selected="0">
            <x v="0"/>
          </reference>
          <reference field="0" count="1" selected="0">
            <x v="7"/>
          </reference>
          <reference field="2" count="1" selected="0">
            <x v="4"/>
          </reference>
        </references>
      </pivotArea>
    </chartFormat>
    <chartFormat chart="21" format="187">
      <pivotArea type="data" outline="0" fieldPosition="0">
        <references count="3">
          <reference field="4294967294" count="1" selected="0">
            <x v="0"/>
          </reference>
          <reference field="0" count="1" selected="0">
            <x v="7"/>
          </reference>
          <reference field="2" count="1" selected="0">
            <x v="5"/>
          </reference>
        </references>
      </pivotArea>
    </chartFormat>
    <chartFormat chart="21" format="188">
      <pivotArea type="data" outline="0" fieldPosition="0">
        <references count="3">
          <reference field="4294967294" count="1" selected="0">
            <x v="0"/>
          </reference>
          <reference field="0" count="1" selected="0">
            <x v="7"/>
          </reference>
          <reference field="2" count="1" selected="0">
            <x v="7"/>
          </reference>
        </references>
      </pivotArea>
    </chartFormat>
    <chartFormat chart="21" format="189" series="1">
      <pivotArea type="data" outline="0" fieldPosition="0">
        <references count="2">
          <reference field="4294967294" count="1" selected="0">
            <x v="0"/>
          </reference>
          <reference field="0" count="1" selected="0">
            <x v="11"/>
          </reference>
        </references>
      </pivotArea>
    </chartFormat>
    <chartFormat chart="21" format="190">
      <pivotArea type="data" outline="0" fieldPosition="0">
        <references count="3">
          <reference field="4294967294" count="1" selected="0">
            <x v="0"/>
          </reference>
          <reference field="0" count="1" selected="0">
            <x v="11"/>
          </reference>
          <reference field="2" count="1" selected="0">
            <x v="0"/>
          </reference>
        </references>
      </pivotArea>
    </chartFormat>
    <chartFormat chart="21" format="191">
      <pivotArea type="data" outline="0" fieldPosition="0">
        <references count="3">
          <reference field="4294967294" count="1" selected="0">
            <x v="0"/>
          </reference>
          <reference field="0" count="1" selected="0">
            <x v="11"/>
          </reference>
          <reference field="2" count="1" selected="0">
            <x v="1"/>
          </reference>
        </references>
      </pivotArea>
    </chartFormat>
    <chartFormat chart="21" format="192">
      <pivotArea type="data" outline="0" fieldPosition="0">
        <references count="3">
          <reference field="4294967294" count="1" selected="0">
            <x v="0"/>
          </reference>
          <reference field="0" count="1" selected="0">
            <x v="11"/>
          </reference>
          <reference field="2" count="1" selected="0">
            <x v="2"/>
          </reference>
        </references>
      </pivotArea>
    </chartFormat>
    <chartFormat chart="21" format="193">
      <pivotArea type="data" outline="0" fieldPosition="0">
        <references count="3">
          <reference field="4294967294" count="1" selected="0">
            <x v="0"/>
          </reference>
          <reference field="0" count="1" selected="0">
            <x v="11"/>
          </reference>
          <reference field="2" count="1" selected="0">
            <x v="3"/>
          </reference>
        </references>
      </pivotArea>
    </chartFormat>
    <chartFormat chart="21" format="194">
      <pivotArea type="data" outline="0" fieldPosition="0">
        <references count="3">
          <reference field="4294967294" count="1" selected="0">
            <x v="0"/>
          </reference>
          <reference field="0" count="1" selected="0">
            <x v="11"/>
          </reference>
          <reference field="2" count="1" selected="0">
            <x v="4"/>
          </reference>
        </references>
      </pivotArea>
    </chartFormat>
    <chartFormat chart="21" format="195">
      <pivotArea type="data" outline="0" fieldPosition="0">
        <references count="3">
          <reference field="4294967294" count="1" selected="0">
            <x v="0"/>
          </reference>
          <reference field="0" count="1" selected="0">
            <x v="11"/>
          </reference>
          <reference field="2" count="1" selected="0">
            <x v="5"/>
          </reference>
        </references>
      </pivotArea>
    </chartFormat>
    <chartFormat chart="21" format="196">
      <pivotArea type="data" outline="0" fieldPosition="0">
        <references count="3">
          <reference field="4294967294" count="1" selected="0">
            <x v="0"/>
          </reference>
          <reference field="0" count="1" selected="0">
            <x v="11"/>
          </reference>
          <reference field="2" count="1" selected="0">
            <x v="6"/>
          </reference>
        </references>
      </pivotArea>
    </chartFormat>
    <chartFormat chart="21" format="197">
      <pivotArea type="data" outline="0" fieldPosition="0">
        <references count="3">
          <reference field="4294967294" count="1" selected="0">
            <x v="0"/>
          </reference>
          <reference field="0" count="1" selected="0">
            <x v="11"/>
          </reference>
          <reference field="2" count="1" selected="0">
            <x v="7"/>
          </reference>
        </references>
      </pivotArea>
    </chartFormat>
    <chartFormat chart="21" format="198">
      <pivotArea type="data" outline="0" fieldPosition="0">
        <references count="3">
          <reference field="4294967294" count="1" selected="0">
            <x v="0"/>
          </reference>
          <reference field="0" count="1" selected="0">
            <x v="11"/>
          </reference>
          <reference field="2" count="1" selected="0">
            <x v="8"/>
          </reference>
        </references>
      </pivotArea>
    </chartFormat>
    <chartFormat chart="21" format="199">
      <pivotArea type="data" outline="0" fieldPosition="0">
        <references count="3">
          <reference field="4294967294" count="1" selected="0">
            <x v="0"/>
          </reference>
          <reference field="0" count="1" selected="0">
            <x v="11"/>
          </reference>
          <reference field="2" count="1" selected="0">
            <x v="9"/>
          </reference>
        </references>
      </pivotArea>
    </chartFormat>
    <chartFormat chart="21" format="200">
      <pivotArea type="data" outline="0" fieldPosition="0">
        <references count="3">
          <reference field="4294967294" count="1" selected="0">
            <x v="0"/>
          </reference>
          <reference field="0" count="1" selected="0">
            <x v="11"/>
          </reference>
          <reference field="2" count="1" selected="0">
            <x v="10"/>
          </reference>
        </references>
      </pivotArea>
    </chartFormat>
    <chartFormat chart="21" format="201">
      <pivotArea type="data" outline="0" fieldPosition="0">
        <references count="3">
          <reference field="4294967294" count="1" selected="0">
            <x v="0"/>
          </reference>
          <reference field="0" count="1" selected="0">
            <x v="11"/>
          </reference>
          <reference field="2" count="1" selected="0">
            <x v="11"/>
          </reference>
        </references>
      </pivotArea>
    </chartFormat>
    <chartFormat chart="22" format="202" series="1">
      <pivotArea type="data" outline="0" fieldPosition="0">
        <references count="2">
          <reference field="4294967294" count="1" selected="0">
            <x v="0"/>
          </reference>
          <reference field="0" count="1" selected="0">
            <x v="4"/>
          </reference>
        </references>
      </pivotArea>
    </chartFormat>
    <chartFormat chart="22" format="203">
      <pivotArea type="data" outline="0" fieldPosition="0">
        <references count="3">
          <reference field="4294967294" count="1" selected="0">
            <x v="0"/>
          </reference>
          <reference field="0" count="1" selected="0">
            <x v="4"/>
          </reference>
          <reference field="2" count="1" selected="0">
            <x v="0"/>
          </reference>
        </references>
      </pivotArea>
    </chartFormat>
    <chartFormat chart="22" format="204">
      <pivotArea type="data" outline="0" fieldPosition="0">
        <references count="3">
          <reference field="4294967294" count="1" selected="0">
            <x v="0"/>
          </reference>
          <reference field="0" count="1" selected="0">
            <x v="4"/>
          </reference>
          <reference field="2" count="1" selected="0">
            <x v="4"/>
          </reference>
        </references>
      </pivotArea>
    </chartFormat>
    <chartFormat chart="22" format="205">
      <pivotArea type="data" outline="0" fieldPosition="0">
        <references count="3">
          <reference field="4294967294" count="1" selected="0">
            <x v="0"/>
          </reference>
          <reference field="0" count="1" selected="0">
            <x v="4"/>
          </reference>
          <reference field="2" count="1" selected="0">
            <x v="5"/>
          </reference>
        </references>
      </pivotArea>
    </chartFormat>
    <chartFormat chart="22" format="206">
      <pivotArea type="data" outline="0" fieldPosition="0">
        <references count="3">
          <reference field="4294967294" count="1" selected="0">
            <x v="0"/>
          </reference>
          <reference field="0" count="1" selected="0">
            <x v="4"/>
          </reference>
          <reference field="2" count="1" selected="0">
            <x v="6"/>
          </reference>
        </references>
      </pivotArea>
    </chartFormat>
    <chartFormat chart="22" format="207">
      <pivotArea type="data" outline="0" fieldPosition="0">
        <references count="3">
          <reference field="4294967294" count="1" selected="0">
            <x v="0"/>
          </reference>
          <reference field="0" count="1" selected="0">
            <x v="4"/>
          </reference>
          <reference field="2" count="1" selected="0">
            <x v="7"/>
          </reference>
        </references>
      </pivotArea>
    </chartFormat>
    <chartFormat chart="22" format="208">
      <pivotArea type="data" outline="0" fieldPosition="0">
        <references count="3">
          <reference field="4294967294" count="1" selected="0">
            <x v="0"/>
          </reference>
          <reference field="0" count="1" selected="0">
            <x v="4"/>
          </reference>
          <reference field="2" count="1" selected="0">
            <x v="8"/>
          </reference>
        </references>
      </pivotArea>
    </chartFormat>
    <chartFormat chart="22" format="209">
      <pivotArea type="data" outline="0" fieldPosition="0">
        <references count="3">
          <reference field="4294967294" count="1" selected="0">
            <x v="0"/>
          </reference>
          <reference field="0" count="1" selected="0">
            <x v="4"/>
          </reference>
          <reference field="2" count="1" selected="0">
            <x v="9"/>
          </reference>
        </references>
      </pivotArea>
    </chartFormat>
    <chartFormat chart="22" format="210">
      <pivotArea type="data" outline="0" fieldPosition="0">
        <references count="3">
          <reference field="4294967294" count="1" selected="0">
            <x v="0"/>
          </reference>
          <reference field="0" count="1" selected="0">
            <x v="4"/>
          </reference>
          <reference field="2" count="1" selected="0">
            <x v="10"/>
          </reference>
        </references>
      </pivotArea>
    </chartFormat>
    <chartFormat chart="22" format="211">
      <pivotArea type="data" outline="0" fieldPosition="0">
        <references count="3">
          <reference field="4294967294" count="1" selected="0">
            <x v="0"/>
          </reference>
          <reference field="0" count="1" selected="0">
            <x v="4"/>
          </reference>
          <reference field="2" count="1" selected="0">
            <x v="11"/>
          </reference>
        </references>
      </pivotArea>
    </chartFormat>
    <chartFormat chart="22" format="212" series="1">
      <pivotArea type="data" outline="0" fieldPosition="0">
        <references count="2">
          <reference field="4294967294" count="1" selected="0">
            <x v="0"/>
          </reference>
          <reference field="0" count="1" selected="0">
            <x v="7"/>
          </reference>
        </references>
      </pivotArea>
    </chartFormat>
    <chartFormat chart="22" format="213">
      <pivotArea type="data" outline="0" fieldPosition="0">
        <references count="3">
          <reference field="4294967294" count="1" selected="0">
            <x v="0"/>
          </reference>
          <reference field="0" count="1" selected="0">
            <x v="7"/>
          </reference>
          <reference field="2" count="1" selected="0">
            <x v="4"/>
          </reference>
        </references>
      </pivotArea>
    </chartFormat>
    <chartFormat chart="22" format="214">
      <pivotArea type="data" outline="0" fieldPosition="0">
        <references count="3">
          <reference field="4294967294" count="1" selected="0">
            <x v="0"/>
          </reference>
          <reference field="0" count="1" selected="0">
            <x v="7"/>
          </reference>
          <reference field="2" count="1" selected="0">
            <x v="5"/>
          </reference>
        </references>
      </pivotArea>
    </chartFormat>
    <chartFormat chart="22" format="215">
      <pivotArea type="data" outline="0" fieldPosition="0">
        <references count="3">
          <reference field="4294967294" count="1" selected="0">
            <x v="0"/>
          </reference>
          <reference field="0" count="1" selected="0">
            <x v="7"/>
          </reference>
          <reference field="2" count="1" selected="0">
            <x v="7"/>
          </reference>
        </references>
      </pivotArea>
    </chartFormat>
    <chartFormat chart="22" format="216" series="1">
      <pivotArea type="data" outline="0" fieldPosition="0">
        <references count="2">
          <reference field="4294967294" count="1" selected="0">
            <x v="0"/>
          </reference>
          <reference field="0" count="1" selected="0">
            <x v="11"/>
          </reference>
        </references>
      </pivotArea>
    </chartFormat>
    <chartFormat chart="22" format="217">
      <pivotArea type="data" outline="0" fieldPosition="0">
        <references count="3">
          <reference field="4294967294" count="1" selected="0">
            <x v="0"/>
          </reference>
          <reference field="0" count="1" selected="0">
            <x v="11"/>
          </reference>
          <reference field="2" count="1" selected="0">
            <x v="0"/>
          </reference>
        </references>
      </pivotArea>
    </chartFormat>
    <chartFormat chart="22" format="218">
      <pivotArea type="data" outline="0" fieldPosition="0">
        <references count="3">
          <reference field="4294967294" count="1" selected="0">
            <x v="0"/>
          </reference>
          <reference field="0" count="1" selected="0">
            <x v="11"/>
          </reference>
          <reference field="2" count="1" selected="0">
            <x v="1"/>
          </reference>
        </references>
      </pivotArea>
    </chartFormat>
    <chartFormat chart="22" format="219">
      <pivotArea type="data" outline="0" fieldPosition="0">
        <references count="3">
          <reference field="4294967294" count="1" selected="0">
            <x v="0"/>
          </reference>
          <reference field="0" count="1" selected="0">
            <x v="11"/>
          </reference>
          <reference field="2" count="1" selected="0">
            <x v="2"/>
          </reference>
        </references>
      </pivotArea>
    </chartFormat>
    <chartFormat chart="22" format="220">
      <pivotArea type="data" outline="0" fieldPosition="0">
        <references count="3">
          <reference field="4294967294" count="1" selected="0">
            <x v="0"/>
          </reference>
          <reference field="0" count="1" selected="0">
            <x v="11"/>
          </reference>
          <reference field="2" count="1" selected="0">
            <x v="3"/>
          </reference>
        </references>
      </pivotArea>
    </chartFormat>
    <chartFormat chart="22" format="221">
      <pivotArea type="data" outline="0" fieldPosition="0">
        <references count="3">
          <reference field="4294967294" count="1" selected="0">
            <x v="0"/>
          </reference>
          <reference field="0" count="1" selected="0">
            <x v="11"/>
          </reference>
          <reference field="2" count="1" selected="0">
            <x v="4"/>
          </reference>
        </references>
      </pivotArea>
    </chartFormat>
    <chartFormat chart="22" format="222">
      <pivotArea type="data" outline="0" fieldPosition="0">
        <references count="3">
          <reference field="4294967294" count="1" selected="0">
            <x v="0"/>
          </reference>
          <reference field="0" count="1" selected="0">
            <x v="11"/>
          </reference>
          <reference field="2" count="1" selected="0">
            <x v="5"/>
          </reference>
        </references>
      </pivotArea>
    </chartFormat>
    <chartFormat chart="22" format="223">
      <pivotArea type="data" outline="0" fieldPosition="0">
        <references count="3">
          <reference field="4294967294" count="1" selected="0">
            <x v="0"/>
          </reference>
          <reference field="0" count="1" selected="0">
            <x v="11"/>
          </reference>
          <reference field="2" count="1" selected="0">
            <x v="6"/>
          </reference>
        </references>
      </pivotArea>
    </chartFormat>
    <chartFormat chart="22" format="224">
      <pivotArea type="data" outline="0" fieldPosition="0">
        <references count="3">
          <reference field="4294967294" count="1" selected="0">
            <x v="0"/>
          </reference>
          <reference field="0" count="1" selected="0">
            <x v="11"/>
          </reference>
          <reference field="2" count="1" selected="0">
            <x v="7"/>
          </reference>
        </references>
      </pivotArea>
    </chartFormat>
    <chartFormat chart="22" format="225">
      <pivotArea type="data" outline="0" fieldPosition="0">
        <references count="3">
          <reference field="4294967294" count="1" selected="0">
            <x v="0"/>
          </reference>
          <reference field="0" count="1" selected="0">
            <x v="11"/>
          </reference>
          <reference field="2" count="1" selected="0">
            <x v="8"/>
          </reference>
        </references>
      </pivotArea>
    </chartFormat>
    <chartFormat chart="22" format="226">
      <pivotArea type="data" outline="0" fieldPosition="0">
        <references count="3">
          <reference field="4294967294" count="1" selected="0">
            <x v="0"/>
          </reference>
          <reference field="0" count="1" selected="0">
            <x v="11"/>
          </reference>
          <reference field="2" count="1" selected="0">
            <x v="9"/>
          </reference>
        </references>
      </pivotArea>
    </chartFormat>
    <chartFormat chart="22" format="227">
      <pivotArea type="data" outline="0" fieldPosition="0">
        <references count="3">
          <reference field="4294967294" count="1" selected="0">
            <x v="0"/>
          </reference>
          <reference field="0" count="1" selected="0">
            <x v="11"/>
          </reference>
          <reference field="2" count="1" selected="0">
            <x v="10"/>
          </reference>
        </references>
      </pivotArea>
    </chartFormat>
    <chartFormat chart="22" format="228">
      <pivotArea type="data" outline="0" fieldPosition="0">
        <references count="3">
          <reference field="4294967294" count="1" selected="0">
            <x v="0"/>
          </reference>
          <reference field="0" count="1" selected="0">
            <x v="11"/>
          </reference>
          <reference field="2" count="1" selected="0">
            <x v="11"/>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F57FAF-F137-4691-B4B7-47E44723EBB5}" autoFormatId="16" applyNumberFormats="0" applyBorderFormats="0" applyFontFormats="0" applyPatternFormats="0" applyAlignmentFormats="0" applyWidthHeightFormats="0">
  <queryTableRefresh nextId="6">
    <queryTableFields count="5">
      <queryTableField id="1" name="Inspection Type" tableColumnId="1"/>
      <queryTableField id="2" name="YTD Total" tableColumnId="2"/>
      <queryTableField id="3" name="Month" tableColumnId="3"/>
      <queryTableField id="4" name="Count" tableColumnId="4"/>
      <queryTableField id="5" name="MonthNumber"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Type" xr10:uid="{24B248B0-2685-4A32-B001-A77EE6F56A25}" sourceName="Inspection Type">
  <pivotTables>
    <pivotTable tabId="8" name="PivotTable11"/>
  </pivotTables>
  <data>
    <tabular pivotCacheId="217102888">
      <items count="12">
        <i x="1" s="1"/>
        <i x="5" s="1"/>
        <i x="8" s="1"/>
        <i x="6" s="1"/>
        <i x="7" s="1"/>
        <i x="2" s="1"/>
        <i x="0" s="1"/>
        <i x="9" s="1"/>
        <i x="3" s="1"/>
        <i x="4" s="1"/>
        <i x="10" s="1"/>
        <i x="11"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6EBE320-A7B8-4454-A0D5-1EB5A1189D5A}" sourceName="Month">
  <pivotTables>
    <pivotTable tabId="9" name="PivotTable12"/>
  </pivotTables>
  <data>
    <tabular pivotCacheId="217102888">
      <items count="12">
        <i x="10" s="1"/>
        <i x="4" s="1"/>
        <i x="5" s="1"/>
        <i x="6" s="1"/>
        <i x="7" s="1"/>
        <i x="8" s="1"/>
        <i x="9" s="1"/>
        <i x="11"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pection Type" xr10:uid="{8CDDD0DB-0C8E-415F-8910-94C778E5FD96}" cache="Slicer_Inspection_Type" caption="Inspection Type" rowHeight="251883"/>
  <slicer name="Month" xr10:uid="{DFC3D492-8AEB-4CFA-8221-9437ECE015D3}" cache="Slicer_Month" caption="Month" columnCount="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DDC6E8-319F-4395-88C6-3072E30867E8}" name="EnvCensus" displayName="EnvCensus" ref="A1:N12" totalsRowShown="0" headerRowDxfId="20" dataDxfId="18" headerRowBorderDxfId="19" tableBorderDxfId="17" totalsRowBorderDxfId="16">
  <autoFilter ref="A1:N12" xr:uid="{A6DDC6E8-319F-4395-88C6-3072E30867E8}"/>
  <tableColumns count="14">
    <tableColumn id="1" xr3:uid="{AC257531-484C-4021-86C1-E6693DC7D13E}" name="Inspection Type" dataDxfId="15"/>
    <tableColumn id="2" xr3:uid="{D997DCE2-CE73-4005-8000-A8A6CEFA0795}" name="SEP" dataDxfId="14"/>
    <tableColumn id="3" xr3:uid="{8AFE49B8-2F0E-43BC-AE76-86F07EB8404E}" name="OCT" dataDxfId="13"/>
    <tableColumn id="4" xr3:uid="{675E5D3F-48DD-4ED4-82BE-8BDA92F933CE}" name="NOV" dataDxfId="12"/>
    <tableColumn id="5" xr3:uid="{13FD2D2B-84A3-4268-A0C4-9801B13E6326}" name="DEC" dataDxfId="11"/>
    <tableColumn id="6" xr3:uid="{14D07A95-3387-48AC-9B01-095C8BF2BABC}" name="JAN" dataDxfId="10"/>
    <tableColumn id="7" xr3:uid="{E4C93BBE-15E8-4F79-9B13-C7623A4F1ADC}" name="FEB" dataDxfId="9"/>
    <tableColumn id="8" xr3:uid="{2DE89E16-6C94-4E83-9A19-36304C2F05F7}" name="MAR" dataDxfId="8"/>
    <tableColumn id="9" xr3:uid="{AC3F5F6B-EC72-43F3-BAD9-C536B1A3C16C}" name="APR" dataDxfId="7"/>
    <tableColumn id="10" xr3:uid="{A80362F6-4859-4ED9-A096-938809B72CE2}" name="MAY" dataDxfId="6"/>
    <tableColumn id="11" xr3:uid="{317CC1D5-9CA0-4DEA-A2AF-7C3877833484}" name="JUN" dataDxfId="5"/>
    <tableColumn id="12" xr3:uid="{7C9F48A3-3206-429D-AA2F-F8DCBC0E588A}" name="JULY" dataDxfId="4"/>
    <tableColumn id="13" xr3:uid="{4E4ED44F-41CC-4F07-9F64-353FF7D340D0}" name="AUG" dataDxfId="3"/>
    <tableColumn id="14" xr3:uid="{12F3DED5-EC81-4F53-A806-8FDDC2FAED54}" name="YTD Total" dataDxfId="2">
      <calculatedColumnFormula>SUM(EnvCensus[[#This Row],[SEP]:[JULY]])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F721D9-49E3-49EE-AC1D-49E61A910016}" name="EnvCensus_1" displayName="EnvCensus_1" ref="A1:E133" tableType="queryTable" totalsRowShown="0">
  <autoFilter ref="A1:E133" xr:uid="{6AF721D9-49E3-49EE-AC1D-49E61A910016}"/>
  <tableColumns count="5">
    <tableColumn id="1" xr3:uid="{A095E51E-4E7C-4D4B-B5D1-790531202035}" uniqueName="1" name="Inspection Type" queryTableFieldId="1" dataDxfId="1"/>
    <tableColumn id="2" xr3:uid="{B0603990-C167-41E4-B763-D1BFF074E49A}" uniqueName="2" name="YTD Total" queryTableFieldId="2"/>
    <tableColumn id="3" xr3:uid="{19999446-138A-43E9-AA7B-C7EAE9C0D79D}" uniqueName="3" name="Month" queryTableFieldId="3" dataDxfId="0"/>
    <tableColumn id="4" xr3:uid="{2997C19F-2831-4F46-8DB3-4BEA75C39038}" uniqueName="4" name="Count" queryTableFieldId="4"/>
    <tableColumn id="5" xr3:uid="{8A057C3E-0348-4F17-BD63-0B135AEBDE91}" uniqueName="5" name="MonthNumber"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A71C-E626-440C-95E9-72CD27A2ED87}">
  <dimension ref="A1:N12"/>
  <sheetViews>
    <sheetView workbookViewId="0">
      <selection activeCell="A16" sqref="A16"/>
    </sheetView>
  </sheetViews>
  <sheetFormatPr defaultColWidth="8.7265625" defaultRowHeight="14.5" x14ac:dyDescent="0.35"/>
  <cols>
    <col min="1" max="1" width="27.81640625" style="4" customWidth="1"/>
    <col min="2" max="13" width="8.7265625" style="4"/>
    <col min="14" max="14" width="10.54296875" style="4" customWidth="1"/>
    <col min="15" max="16384" width="8.7265625" style="4"/>
  </cols>
  <sheetData>
    <row r="1" spans="1:14" x14ac:dyDescent="0.35">
      <c r="A1" s="1" t="s">
        <v>0</v>
      </c>
      <c r="B1" s="2" t="s">
        <v>1</v>
      </c>
      <c r="C1" s="2" t="s">
        <v>2</v>
      </c>
      <c r="D1" s="2" t="s">
        <v>3</v>
      </c>
      <c r="E1" s="2" t="s">
        <v>4</v>
      </c>
      <c r="F1" s="2" t="s">
        <v>5</v>
      </c>
      <c r="G1" s="2" t="s">
        <v>6</v>
      </c>
      <c r="H1" s="2" t="s">
        <v>7</v>
      </c>
      <c r="I1" s="2" t="s">
        <v>8</v>
      </c>
      <c r="J1" s="2" t="s">
        <v>9</v>
      </c>
      <c r="K1" s="2" t="s">
        <v>10</v>
      </c>
      <c r="L1" s="2" t="s">
        <v>11</v>
      </c>
      <c r="M1" s="2" t="s">
        <v>12</v>
      </c>
      <c r="N1" s="3" t="s">
        <v>13</v>
      </c>
    </row>
    <row r="2" spans="1:14" x14ac:dyDescent="0.35">
      <c r="A2" s="5" t="s">
        <v>16</v>
      </c>
      <c r="B2" s="6">
        <v>32</v>
      </c>
      <c r="C2" s="6">
        <v>21</v>
      </c>
      <c r="D2" s="6">
        <v>34</v>
      </c>
      <c r="E2" s="6">
        <v>23</v>
      </c>
      <c r="F2" s="6">
        <v>40</v>
      </c>
      <c r="G2" s="6">
        <v>50</v>
      </c>
      <c r="H2" s="6">
        <v>57</v>
      </c>
      <c r="I2" s="6">
        <v>39</v>
      </c>
      <c r="J2" s="6">
        <v>9</v>
      </c>
      <c r="K2" s="6">
        <v>8</v>
      </c>
      <c r="L2" s="6">
        <v>9</v>
      </c>
      <c r="M2" s="6">
        <v>0</v>
      </c>
      <c r="N2" s="7">
        <f>SUM(EnvCensus[[#This Row],[SEP]:[JULY]])</f>
        <v>322</v>
      </c>
    </row>
    <row r="3" spans="1:14" x14ac:dyDescent="0.35">
      <c r="A3" s="5" t="s">
        <v>17</v>
      </c>
      <c r="B3" s="6">
        <v>1</v>
      </c>
      <c r="C3" s="6">
        <v>0</v>
      </c>
      <c r="D3" s="6">
        <v>1</v>
      </c>
      <c r="E3" s="6">
        <v>0</v>
      </c>
      <c r="F3" s="6">
        <v>0</v>
      </c>
      <c r="G3" s="6">
        <v>1</v>
      </c>
      <c r="H3" s="6">
        <v>5</v>
      </c>
      <c r="I3" s="6">
        <v>1</v>
      </c>
      <c r="J3" s="6">
        <v>0</v>
      </c>
      <c r="K3" s="6">
        <v>0</v>
      </c>
      <c r="L3" s="6">
        <v>0</v>
      </c>
      <c r="M3" s="6">
        <v>0</v>
      </c>
      <c r="N3" s="7">
        <f>SUM(EnvCensus[[#This Row],[SEP]:[JULY]])</f>
        <v>9</v>
      </c>
    </row>
    <row r="4" spans="1:14" x14ac:dyDescent="0.35">
      <c r="A4" s="5" t="s">
        <v>14</v>
      </c>
      <c r="B4" s="6">
        <v>0</v>
      </c>
      <c r="C4" s="6">
        <v>0</v>
      </c>
      <c r="D4" s="6">
        <v>0</v>
      </c>
      <c r="E4" s="6">
        <v>0</v>
      </c>
      <c r="F4" s="6">
        <v>0</v>
      </c>
      <c r="G4" s="6">
        <v>0</v>
      </c>
      <c r="H4" s="6">
        <v>6</v>
      </c>
      <c r="I4" s="6">
        <v>7</v>
      </c>
      <c r="J4" s="6">
        <v>18</v>
      </c>
      <c r="K4" s="6">
        <v>0</v>
      </c>
      <c r="L4" s="6">
        <v>2</v>
      </c>
      <c r="M4" s="6">
        <v>0</v>
      </c>
      <c r="N4" s="7">
        <f>SUM(EnvCensus[[#This Row],[SEP]:[JULY]])</f>
        <v>33</v>
      </c>
    </row>
    <row r="5" spans="1:14" x14ac:dyDescent="0.35">
      <c r="A5" s="5" t="s">
        <v>15</v>
      </c>
      <c r="B5" s="6">
        <v>0</v>
      </c>
      <c r="C5" s="6">
        <v>0</v>
      </c>
      <c r="D5" s="6">
        <v>0</v>
      </c>
      <c r="E5" s="6">
        <v>0</v>
      </c>
      <c r="F5" s="6">
        <v>0</v>
      </c>
      <c r="G5" s="6">
        <v>0</v>
      </c>
      <c r="H5" s="6">
        <v>0</v>
      </c>
      <c r="I5" s="6">
        <v>0</v>
      </c>
      <c r="J5" s="6">
        <v>0</v>
      </c>
      <c r="K5" s="6">
        <v>0</v>
      </c>
      <c r="L5" s="6">
        <v>0</v>
      </c>
      <c r="M5" s="6">
        <v>0</v>
      </c>
      <c r="N5" s="7">
        <f>SUM(EnvCensus[[#This Row],[SEP]:[JULY]])</f>
        <v>0</v>
      </c>
    </row>
    <row r="6" spans="1:14" x14ac:dyDescent="0.35">
      <c r="A6" s="5" t="s">
        <v>18</v>
      </c>
      <c r="B6" s="6">
        <v>2</v>
      </c>
      <c r="C6" s="6">
        <v>0</v>
      </c>
      <c r="D6" s="6">
        <v>2</v>
      </c>
      <c r="E6" s="6">
        <v>0</v>
      </c>
      <c r="F6" s="6">
        <v>1</v>
      </c>
      <c r="G6" s="6">
        <v>0</v>
      </c>
      <c r="H6" s="6">
        <v>1</v>
      </c>
      <c r="I6" s="6">
        <v>0</v>
      </c>
      <c r="J6" s="6">
        <v>1</v>
      </c>
      <c r="K6" s="6">
        <v>0</v>
      </c>
      <c r="L6" s="6">
        <v>0</v>
      </c>
      <c r="M6" s="6">
        <v>0</v>
      </c>
      <c r="N6" s="7">
        <f>SUM(EnvCensus[[#This Row],[SEP]:[JULY]])</f>
        <v>7</v>
      </c>
    </row>
    <row r="7" spans="1:14" x14ac:dyDescent="0.35">
      <c r="A7" s="5" t="s">
        <v>24</v>
      </c>
      <c r="B7" s="6">
        <v>3</v>
      </c>
      <c r="C7" s="6">
        <v>0</v>
      </c>
      <c r="D7" s="6">
        <v>1</v>
      </c>
      <c r="E7" s="6">
        <v>0</v>
      </c>
      <c r="F7" s="6">
        <v>2</v>
      </c>
      <c r="G7" s="6">
        <v>2</v>
      </c>
      <c r="H7" s="6">
        <v>0</v>
      </c>
      <c r="I7" s="6">
        <v>3</v>
      </c>
      <c r="J7" s="6">
        <v>2</v>
      </c>
      <c r="K7" s="6">
        <v>2</v>
      </c>
      <c r="L7" s="6">
        <v>0</v>
      </c>
      <c r="M7" s="6">
        <v>0</v>
      </c>
      <c r="N7" s="7">
        <f>SUM(EnvCensus[[#This Row],[SEP]:[JULY]])</f>
        <v>15</v>
      </c>
    </row>
    <row r="8" spans="1:14" x14ac:dyDescent="0.35">
      <c r="A8" s="5" t="s">
        <v>20</v>
      </c>
      <c r="B8" s="6">
        <v>1</v>
      </c>
      <c r="C8" s="6">
        <v>0</v>
      </c>
      <c r="D8" s="6">
        <v>1</v>
      </c>
      <c r="E8" s="6">
        <v>21</v>
      </c>
      <c r="F8" s="6">
        <v>1</v>
      </c>
      <c r="G8" s="6">
        <v>0</v>
      </c>
      <c r="H8" s="6">
        <v>4</v>
      </c>
      <c r="I8" s="6">
        <v>0</v>
      </c>
      <c r="J8" s="6">
        <v>0</v>
      </c>
      <c r="K8" s="6">
        <v>0</v>
      </c>
      <c r="L8" s="6">
        <v>2</v>
      </c>
      <c r="M8" s="6">
        <v>0</v>
      </c>
      <c r="N8" s="7">
        <f>SUM(EnvCensus[[#This Row],[SEP]:[JULY]])</f>
        <v>30</v>
      </c>
    </row>
    <row r="9" spans="1:14" x14ac:dyDescent="0.35">
      <c r="A9" s="5" t="s">
        <v>19</v>
      </c>
      <c r="B9" s="6">
        <v>0</v>
      </c>
      <c r="C9" s="6">
        <v>3</v>
      </c>
      <c r="D9" s="6">
        <v>1</v>
      </c>
      <c r="E9" s="6">
        <v>0</v>
      </c>
      <c r="F9" s="6">
        <v>5</v>
      </c>
      <c r="G9" s="6">
        <v>12</v>
      </c>
      <c r="H9" s="6">
        <v>7</v>
      </c>
      <c r="I9" s="6">
        <v>15</v>
      </c>
      <c r="J9" s="6">
        <v>4</v>
      </c>
      <c r="K9" s="6">
        <v>1</v>
      </c>
      <c r="L9" s="6">
        <v>1</v>
      </c>
      <c r="M9" s="6">
        <v>0</v>
      </c>
      <c r="N9" s="7">
        <f>SUM(EnvCensus[[#This Row],[SEP]:[JULY]])</f>
        <v>49</v>
      </c>
    </row>
    <row r="10" spans="1:14" x14ac:dyDescent="0.35">
      <c r="A10" s="5" t="s">
        <v>23</v>
      </c>
      <c r="B10" s="6">
        <v>11</v>
      </c>
      <c r="C10" s="6">
        <v>3</v>
      </c>
      <c r="D10" s="6">
        <v>3</v>
      </c>
      <c r="E10" s="6">
        <v>0</v>
      </c>
      <c r="F10" s="6">
        <v>0</v>
      </c>
      <c r="G10" s="6">
        <v>1</v>
      </c>
      <c r="H10" s="6">
        <v>2</v>
      </c>
      <c r="I10" s="6">
        <v>2</v>
      </c>
      <c r="J10" s="6">
        <v>1</v>
      </c>
      <c r="K10" s="6">
        <v>5</v>
      </c>
      <c r="L10" s="6">
        <v>6</v>
      </c>
      <c r="M10" s="6">
        <v>0</v>
      </c>
      <c r="N10" s="7">
        <f>SUM(EnvCensus[[#This Row],[SEP]:[JULY]])</f>
        <v>34</v>
      </c>
    </row>
    <row r="11" spans="1:14" x14ac:dyDescent="0.35">
      <c r="A11" s="5" t="s">
        <v>22</v>
      </c>
      <c r="B11" s="6">
        <v>6</v>
      </c>
      <c r="C11" s="6">
        <v>11</v>
      </c>
      <c r="D11" s="6">
        <v>4</v>
      </c>
      <c r="E11" s="6">
        <v>4</v>
      </c>
      <c r="F11" s="6">
        <v>0</v>
      </c>
      <c r="G11" s="6">
        <v>0</v>
      </c>
      <c r="H11" s="6">
        <v>0</v>
      </c>
      <c r="I11" s="6">
        <v>11</v>
      </c>
      <c r="J11" s="6">
        <v>11</v>
      </c>
      <c r="K11" s="6">
        <v>0</v>
      </c>
      <c r="L11" s="6">
        <v>0</v>
      </c>
      <c r="M11" s="6">
        <v>0</v>
      </c>
      <c r="N11" s="7">
        <f>SUM(EnvCensus[[#This Row],[SEP]:[JULY]])</f>
        <v>47</v>
      </c>
    </row>
    <row r="12" spans="1:14" x14ac:dyDescent="0.35">
      <c r="A12" s="5" t="s">
        <v>21</v>
      </c>
      <c r="B12" s="6">
        <v>3</v>
      </c>
      <c r="C12" s="6">
        <v>26</v>
      </c>
      <c r="D12" s="6">
        <v>11</v>
      </c>
      <c r="E12" s="6">
        <v>6</v>
      </c>
      <c r="F12" s="6">
        <v>1</v>
      </c>
      <c r="G12" s="6">
        <v>5</v>
      </c>
      <c r="H12" s="6">
        <v>13</v>
      </c>
      <c r="I12" s="6">
        <v>11</v>
      </c>
      <c r="J12" s="6">
        <v>35</v>
      </c>
      <c r="K12" s="6">
        <v>12</v>
      </c>
      <c r="L12" s="6">
        <v>20</v>
      </c>
      <c r="M12" s="6">
        <v>0</v>
      </c>
      <c r="N12" s="7">
        <f>SUM(EnvCensus[[#This Row],[SEP]:[JULY]])</f>
        <v>143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A84D-330C-49F3-8EF6-2F9E14885CD1}">
  <dimension ref="A1:E133"/>
  <sheetViews>
    <sheetView workbookViewId="0">
      <selection activeCell="G13" sqref="G13"/>
    </sheetView>
  </sheetViews>
  <sheetFormatPr defaultRowHeight="14.5" x14ac:dyDescent="0.35"/>
  <cols>
    <col min="1" max="1" width="25" bestFit="1" customWidth="1"/>
    <col min="2" max="2" width="10.81640625" bestFit="1" customWidth="1"/>
    <col min="3" max="3" width="8.36328125" bestFit="1" customWidth="1"/>
    <col min="4" max="4" width="8.1796875" bestFit="1" customWidth="1"/>
    <col min="5" max="5" width="15.1796875" bestFit="1" customWidth="1"/>
  </cols>
  <sheetData>
    <row r="1" spans="1:5" x14ac:dyDescent="0.35">
      <c r="A1" t="s">
        <v>0</v>
      </c>
      <c r="B1" t="s">
        <v>13</v>
      </c>
      <c r="C1" t="s">
        <v>25</v>
      </c>
      <c r="D1" t="s">
        <v>26</v>
      </c>
      <c r="E1" t="s">
        <v>31</v>
      </c>
    </row>
    <row r="2" spans="1:5" x14ac:dyDescent="0.35">
      <c r="A2" t="s">
        <v>16</v>
      </c>
      <c r="B2">
        <v>322</v>
      </c>
      <c r="C2" t="s">
        <v>1</v>
      </c>
      <c r="D2">
        <v>32</v>
      </c>
      <c r="E2">
        <v>9</v>
      </c>
    </row>
    <row r="3" spans="1:5" x14ac:dyDescent="0.35">
      <c r="A3" t="s">
        <v>16</v>
      </c>
      <c r="B3">
        <v>322</v>
      </c>
      <c r="C3" t="s">
        <v>2</v>
      </c>
      <c r="D3">
        <v>21</v>
      </c>
      <c r="E3">
        <v>10</v>
      </c>
    </row>
    <row r="4" spans="1:5" x14ac:dyDescent="0.35">
      <c r="A4" t="s">
        <v>16</v>
      </c>
      <c r="B4">
        <v>322</v>
      </c>
      <c r="C4" t="s">
        <v>3</v>
      </c>
      <c r="D4">
        <v>34</v>
      </c>
      <c r="E4">
        <v>11</v>
      </c>
    </row>
    <row r="5" spans="1:5" x14ac:dyDescent="0.35">
      <c r="A5" t="s">
        <v>16</v>
      </c>
      <c r="B5">
        <v>322</v>
      </c>
      <c r="C5" t="s">
        <v>4</v>
      </c>
      <c r="D5">
        <v>23</v>
      </c>
      <c r="E5">
        <v>12</v>
      </c>
    </row>
    <row r="6" spans="1:5" x14ac:dyDescent="0.35">
      <c r="A6" t="s">
        <v>16</v>
      </c>
      <c r="B6">
        <v>322</v>
      </c>
      <c r="C6" t="s">
        <v>5</v>
      </c>
      <c r="D6">
        <v>40</v>
      </c>
      <c r="E6">
        <v>1</v>
      </c>
    </row>
    <row r="7" spans="1:5" x14ac:dyDescent="0.35">
      <c r="A7" t="s">
        <v>16</v>
      </c>
      <c r="B7">
        <v>322</v>
      </c>
      <c r="C7" t="s">
        <v>6</v>
      </c>
      <c r="D7">
        <v>50</v>
      </c>
      <c r="E7">
        <v>2</v>
      </c>
    </row>
    <row r="8" spans="1:5" x14ac:dyDescent="0.35">
      <c r="A8" t="s">
        <v>16</v>
      </c>
      <c r="B8">
        <v>322</v>
      </c>
      <c r="C8" t="s">
        <v>7</v>
      </c>
      <c r="D8">
        <v>57</v>
      </c>
      <c r="E8">
        <v>3</v>
      </c>
    </row>
    <row r="9" spans="1:5" x14ac:dyDescent="0.35">
      <c r="A9" t="s">
        <v>16</v>
      </c>
      <c r="B9">
        <v>322</v>
      </c>
      <c r="C9" t="s">
        <v>8</v>
      </c>
      <c r="D9">
        <v>39</v>
      </c>
      <c r="E9">
        <v>4</v>
      </c>
    </row>
    <row r="10" spans="1:5" x14ac:dyDescent="0.35">
      <c r="A10" t="s">
        <v>16</v>
      </c>
      <c r="B10">
        <v>322</v>
      </c>
      <c r="C10" t="s">
        <v>9</v>
      </c>
      <c r="D10">
        <v>9</v>
      </c>
      <c r="E10">
        <v>5</v>
      </c>
    </row>
    <row r="11" spans="1:5" x14ac:dyDescent="0.35">
      <c r="A11" t="s">
        <v>16</v>
      </c>
      <c r="B11">
        <v>322</v>
      </c>
      <c r="C11" t="s">
        <v>10</v>
      </c>
      <c r="D11">
        <v>8</v>
      </c>
      <c r="E11">
        <v>6</v>
      </c>
    </row>
    <row r="12" spans="1:5" x14ac:dyDescent="0.35">
      <c r="A12" t="s">
        <v>16</v>
      </c>
      <c r="B12">
        <v>322</v>
      </c>
      <c r="C12" t="s">
        <v>11</v>
      </c>
      <c r="D12">
        <v>9</v>
      </c>
      <c r="E12">
        <v>7</v>
      </c>
    </row>
    <row r="13" spans="1:5" x14ac:dyDescent="0.35">
      <c r="A13" t="s">
        <v>16</v>
      </c>
      <c r="B13">
        <v>322</v>
      </c>
      <c r="C13" t="s">
        <v>12</v>
      </c>
      <c r="D13">
        <v>0</v>
      </c>
      <c r="E13">
        <v>8</v>
      </c>
    </row>
    <row r="14" spans="1:5" x14ac:dyDescent="0.35">
      <c r="A14" t="s">
        <v>17</v>
      </c>
      <c r="B14">
        <v>9</v>
      </c>
      <c r="C14" t="s">
        <v>1</v>
      </c>
      <c r="D14">
        <v>1</v>
      </c>
      <c r="E14">
        <v>9</v>
      </c>
    </row>
    <row r="15" spans="1:5" x14ac:dyDescent="0.35">
      <c r="A15" t="s">
        <v>17</v>
      </c>
      <c r="B15">
        <v>9</v>
      </c>
      <c r="C15" t="s">
        <v>2</v>
      </c>
      <c r="D15">
        <v>0</v>
      </c>
      <c r="E15">
        <v>10</v>
      </c>
    </row>
    <row r="16" spans="1:5" x14ac:dyDescent="0.35">
      <c r="A16" t="s">
        <v>17</v>
      </c>
      <c r="B16">
        <v>9</v>
      </c>
      <c r="C16" t="s">
        <v>3</v>
      </c>
      <c r="D16">
        <v>1</v>
      </c>
      <c r="E16">
        <v>11</v>
      </c>
    </row>
    <row r="17" spans="1:5" x14ac:dyDescent="0.35">
      <c r="A17" t="s">
        <v>17</v>
      </c>
      <c r="B17">
        <v>9</v>
      </c>
      <c r="C17" t="s">
        <v>4</v>
      </c>
      <c r="D17">
        <v>0</v>
      </c>
      <c r="E17">
        <v>12</v>
      </c>
    </row>
    <row r="18" spans="1:5" x14ac:dyDescent="0.35">
      <c r="A18" t="s">
        <v>17</v>
      </c>
      <c r="B18">
        <v>9</v>
      </c>
      <c r="C18" t="s">
        <v>5</v>
      </c>
      <c r="D18">
        <v>0</v>
      </c>
      <c r="E18">
        <v>1</v>
      </c>
    </row>
    <row r="19" spans="1:5" x14ac:dyDescent="0.35">
      <c r="A19" t="s">
        <v>17</v>
      </c>
      <c r="B19">
        <v>9</v>
      </c>
      <c r="C19" t="s">
        <v>6</v>
      </c>
      <c r="D19">
        <v>1</v>
      </c>
      <c r="E19">
        <v>2</v>
      </c>
    </row>
    <row r="20" spans="1:5" x14ac:dyDescent="0.35">
      <c r="A20" t="s">
        <v>17</v>
      </c>
      <c r="B20">
        <v>9</v>
      </c>
      <c r="C20" t="s">
        <v>7</v>
      </c>
      <c r="D20">
        <v>5</v>
      </c>
      <c r="E20">
        <v>3</v>
      </c>
    </row>
    <row r="21" spans="1:5" x14ac:dyDescent="0.35">
      <c r="A21" t="s">
        <v>17</v>
      </c>
      <c r="B21">
        <v>9</v>
      </c>
      <c r="C21" t="s">
        <v>8</v>
      </c>
      <c r="D21">
        <v>1</v>
      </c>
      <c r="E21">
        <v>4</v>
      </c>
    </row>
    <row r="22" spans="1:5" x14ac:dyDescent="0.35">
      <c r="A22" t="s">
        <v>17</v>
      </c>
      <c r="B22">
        <v>9</v>
      </c>
      <c r="C22" t="s">
        <v>9</v>
      </c>
      <c r="D22">
        <v>0</v>
      </c>
      <c r="E22">
        <v>5</v>
      </c>
    </row>
    <row r="23" spans="1:5" x14ac:dyDescent="0.35">
      <c r="A23" t="s">
        <v>17</v>
      </c>
      <c r="B23">
        <v>9</v>
      </c>
      <c r="C23" t="s">
        <v>10</v>
      </c>
      <c r="D23">
        <v>0</v>
      </c>
      <c r="E23">
        <v>6</v>
      </c>
    </row>
    <row r="24" spans="1:5" x14ac:dyDescent="0.35">
      <c r="A24" t="s">
        <v>17</v>
      </c>
      <c r="B24">
        <v>9</v>
      </c>
      <c r="C24" t="s">
        <v>11</v>
      </c>
      <c r="D24">
        <v>0</v>
      </c>
      <c r="E24">
        <v>7</v>
      </c>
    </row>
    <row r="25" spans="1:5" x14ac:dyDescent="0.35">
      <c r="A25" t="s">
        <v>17</v>
      </c>
      <c r="B25">
        <v>9</v>
      </c>
      <c r="C25" t="s">
        <v>12</v>
      </c>
      <c r="D25">
        <v>0</v>
      </c>
      <c r="E25">
        <v>8</v>
      </c>
    </row>
    <row r="26" spans="1:5" x14ac:dyDescent="0.35">
      <c r="A26" t="s">
        <v>14</v>
      </c>
      <c r="B26">
        <v>33</v>
      </c>
      <c r="C26" t="s">
        <v>1</v>
      </c>
      <c r="D26">
        <v>0</v>
      </c>
      <c r="E26">
        <v>9</v>
      </c>
    </row>
    <row r="27" spans="1:5" x14ac:dyDescent="0.35">
      <c r="A27" t="s">
        <v>14</v>
      </c>
      <c r="B27">
        <v>33</v>
      </c>
      <c r="C27" t="s">
        <v>2</v>
      </c>
      <c r="D27">
        <v>0</v>
      </c>
      <c r="E27">
        <v>10</v>
      </c>
    </row>
    <row r="28" spans="1:5" x14ac:dyDescent="0.35">
      <c r="A28" t="s">
        <v>14</v>
      </c>
      <c r="B28">
        <v>33</v>
      </c>
      <c r="C28" t="s">
        <v>3</v>
      </c>
      <c r="D28">
        <v>0</v>
      </c>
      <c r="E28">
        <v>11</v>
      </c>
    </row>
    <row r="29" spans="1:5" x14ac:dyDescent="0.35">
      <c r="A29" t="s">
        <v>14</v>
      </c>
      <c r="B29">
        <v>33</v>
      </c>
      <c r="C29" t="s">
        <v>4</v>
      </c>
      <c r="D29">
        <v>0</v>
      </c>
      <c r="E29">
        <v>12</v>
      </c>
    </row>
    <row r="30" spans="1:5" x14ac:dyDescent="0.35">
      <c r="A30" t="s">
        <v>14</v>
      </c>
      <c r="B30">
        <v>33</v>
      </c>
      <c r="C30" t="s">
        <v>5</v>
      </c>
      <c r="D30">
        <v>0</v>
      </c>
      <c r="E30">
        <v>1</v>
      </c>
    </row>
    <row r="31" spans="1:5" x14ac:dyDescent="0.35">
      <c r="A31" t="s">
        <v>14</v>
      </c>
      <c r="B31">
        <v>33</v>
      </c>
      <c r="C31" t="s">
        <v>6</v>
      </c>
      <c r="D31">
        <v>0</v>
      </c>
      <c r="E31">
        <v>2</v>
      </c>
    </row>
    <row r="32" spans="1:5" x14ac:dyDescent="0.35">
      <c r="A32" t="s">
        <v>14</v>
      </c>
      <c r="B32">
        <v>33</v>
      </c>
      <c r="C32" t="s">
        <v>7</v>
      </c>
      <c r="D32">
        <v>6</v>
      </c>
      <c r="E32">
        <v>3</v>
      </c>
    </row>
    <row r="33" spans="1:5" x14ac:dyDescent="0.35">
      <c r="A33" t="s">
        <v>14</v>
      </c>
      <c r="B33">
        <v>33</v>
      </c>
      <c r="C33" t="s">
        <v>8</v>
      </c>
      <c r="D33">
        <v>7</v>
      </c>
      <c r="E33">
        <v>4</v>
      </c>
    </row>
    <row r="34" spans="1:5" x14ac:dyDescent="0.35">
      <c r="A34" t="s">
        <v>14</v>
      </c>
      <c r="B34">
        <v>33</v>
      </c>
      <c r="C34" t="s">
        <v>9</v>
      </c>
      <c r="D34">
        <v>18</v>
      </c>
      <c r="E34">
        <v>5</v>
      </c>
    </row>
    <row r="35" spans="1:5" x14ac:dyDescent="0.35">
      <c r="A35" t="s">
        <v>14</v>
      </c>
      <c r="B35">
        <v>33</v>
      </c>
      <c r="C35" t="s">
        <v>10</v>
      </c>
      <c r="D35">
        <v>0</v>
      </c>
      <c r="E35">
        <v>6</v>
      </c>
    </row>
    <row r="36" spans="1:5" x14ac:dyDescent="0.35">
      <c r="A36" t="s">
        <v>14</v>
      </c>
      <c r="B36">
        <v>33</v>
      </c>
      <c r="C36" t="s">
        <v>11</v>
      </c>
      <c r="D36">
        <v>2</v>
      </c>
      <c r="E36">
        <v>7</v>
      </c>
    </row>
    <row r="37" spans="1:5" x14ac:dyDescent="0.35">
      <c r="A37" t="s">
        <v>14</v>
      </c>
      <c r="B37">
        <v>33</v>
      </c>
      <c r="C37" t="s">
        <v>12</v>
      </c>
      <c r="D37">
        <v>0</v>
      </c>
      <c r="E37">
        <v>8</v>
      </c>
    </row>
    <row r="38" spans="1:5" x14ac:dyDescent="0.35">
      <c r="A38" t="s">
        <v>15</v>
      </c>
      <c r="B38">
        <v>0</v>
      </c>
      <c r="C38" t="s">
        <v>1</v>
      </c>
      <c r="D38">
        <v>0</v>
      </c>
      <c r="E38">
        <v>9</v>
      </c>
    </row>
    <row r="39" spans="1:5" x14ac:dyDescent="0.35">
      <c r="A39" t="s">
        <v>15</v>
      </c>
      <c r="B39">
        <v>0</v>
      </c>
      <c r="C39" t="s">
        <v>2</v>
      </c>
      <c r="D39">
        <v>0</v>
      </c>
      <c r="E39">
        <v>10</v>
      </c>
    </row>
    <row r="40" spans="1:5" x14ac:dyDescent="0.35">
      <c r="A40" t="s">
        <v>15</v>
      </c>
      <c r="B40">
        <v>0</v>
      </c>
      <c r="C40" t="s">
        <v>3</v>
      </c>
      <c r="D40">
        <v>0</v>
      </c>
      <c r="E40">
        <v>11</v>
      </c>
    </row>
    <row r="41" spans="1:5" x14ac:dyDescent="0.35">
      <c r="A41" t="s">
        <v>15</v>
      </c>
      <c r="B41">
        <v>0</v>
      </c>
      <c r="C41" t="s">
        <v>4</v>
      </c>
      <c r="D41">
        <v>0</v>
      </c>
      <c r="E41">
        <v>12</v>
      </c>
    </row>
    <row r="42" spans="1:5" x14ac:dyDescent="0.35">
      <c r="A42" t="s">
        <v>15</v>
      </c>
      <c r="B42">
        <v>0</v>
      </c>
      <c r="C42" t="s">
        <v>5</v>
      </c>
      <c r="D42">
        <v>0</v>
      </c>
      <c r="E42">
        <v>1</v>
      </c>
    </row>
    <row r="43" spans="1:5" x14ac:dyDescent="0.35">
      <c r="A43" t="s">
        <v>15</v>
      </c>
      <c r="B43">
        <v>0</v>
      </c>
      <c r="C43" t="s">
        <v>6</v>
      </c>
      <c r="D43">
        <v>0</v>
      </c>
      <c r="E43">
        <v>2</v>
      </c>
    </row>
    <row r="44" spans="1:5" x14ac:dyDescent="0.35">
      <c r="A44" t="s">
        <v>15</v>
      </c>
      <c r="B44">
        <v>0</v>
      </c>
      <c r="C44" t="s">
        <v>7</v>
      </c>
      <c r="D44">
        <v>0</v>
      </c>
      <c r="E44">
        <v>3</v>
      </c>
    </row>
    <row r="45" spans="1:5" x14ac:dyDescent="0.35">
      <c r="A45" t="s">
        <v>15</v>
      </c>
      <c r="B45">
        <v>0</v>
      </c>
      <c r="C45" t="s">
        <v>8</v>
      </c>
      <c r="D45">
        <v>0</v>
      </c>
      <c r="E45">
        <v>4</v>
      </c>
    </row>
    <row r="46" spans="1:5" x14ac:dyDescent="0.35">
      <c r="A46" t="s">
        <v>15</v>
      </c>
      <c r="B46">
        <v>0</v>
      </c>
      <c r="C46" t="s">
        <v>9</v>
      </c>
      <c r="D46">
        <v>0</v>
      </c>
      <c r="E46">
        <v>5</v>
      </c>
    </row>
    <row r="47" spans="1:5" x14ac:dyDescent="0.35">
      <c r="A47" t="s">
        <v>15</v>
      </c>
      <c r="B47">
        <v>0</v>
      </c>
      <c r="C47" t="s">
        <v>10</v>
      </c>
      <c r="D47">
        <v>0</v>
      </c>
      <c r="E47">
        <v>6</v>
      </c>
    </row>
    <row r="48" spans="1:5" x14ac:dyDescent="0.35">
      <c r="A48" t="s">
        <v>15</v>
      </c>
      <c r="B48">
        <v>0</v>
      </c>
      <c r="C48" t="s">
        <v>11</v>
      </c>
      <c r="D48">
        <v>0</v>
      </c>
      <c r="E48">
        <v>7</v>
      </c>
    </row>
    <row r="49" spans="1:5" x14ac:dyDescent="0.35">
      <c r="A49" t="s">
        <v>15</v>
      </c>
      <c r="B49">
        <v>0</v>
      </c>
      <c r="C49" t="s">
        <v>12</v>
      </c>
      <c r="D49">
        <v>0</v>
      </c>
      <c r="E49">
        <v>8</v>
      </c>
    </row>
    <row r="50" spans="1:5" x14ac:dyDescent="0.35">
      <c r="A50" t="s">
        <v>18</v>
      </c>
      <c r="B50">
        <v>7</v>
      </c>
      <c r="C50" t="s">
        <v>1</v>
      </c>
      <c r="D50">
        <v>2</v>
      </c>
      <c r="E50">
        <v>9</v>
      </c>
    </row>
    <row r="51" spans="1:5" x14ac:dyDescent="0.35">
      <c r="A51" t="s">
        <v>18</v>
      </c>
      <c r="B51">
        <v>7</v>
      </c>
      <c r="C51" t="s">
        <v>2</v>
      </c>
      <c r="D51">
        <v>0</v>
      </c>
      <c r="E51">
        <v>10</v>
      </c>
    </row>
    <row r="52" spans="1:5" x14ac:dyDescent="0.35">
      <c r="A52" t="s">
        <v>18</v>
      </c>
      <c r="B52">
        <v>7</v>
      </c>
      <c r="C52" t="s">
        <v>3</v>
      </c>
      <c r="D52">
        <v>2</v>
      </c>
      <c r="E52">
        <v>11</v>
      </c>
    </row>
    <row r="53" spans="1:5" x14ac:dyDescent="0.35">
      <c r="A53" t="s">
        <v>18</v>
      </c>
      <c r="B53">
        <v>7</v>
      </c>
      <c r="C53" t="s">
        <v>4</v>
      </c>
      <c r="D53">
        <v>0</v>
      </c>
      <c r="E53">
        <v>12</v>
      </c>
    </row>
    <row r="54" spans="1:5" x14ac:dyDescent="0.35">
      <c r="A54" t="s">
        <v>18</v>
      </c>
      <c r="B54">
        <v>7</v>
      </c>
      <c r="C54" t="s">
        <v>5</v>
      </c>
      <c r="D54">
        <v>1</v>
      </c>
      <c r="E54">
        <v>1</v>
      </c>
    </row>
    <row r="55" spans="1:5" x14ac:dyDescent="0.35">
      <c r="A55" t="s">
        <v>18</v>
      </c>
      <c r="B55">
        <v>7</v>
      </c>
      <c r="C55" t="s">
        <v>6</v>
      </c>
      <c r="D55">
        <v>0</v>
      </c>
      <c r="E55">
        <v>2</v>
      </c>
    </row>
    <row r="56" spans="1:5" x14ac:dyDescent="0.35">
      <c r="A56" t="s">
        <v>18</v>
      </c>
      <c r="B56">
        <v>7</v>
      </c>
      <c r="C56" t="s">
        <v>7</v>
      </c>
      <c r="D56">
        <v>1</v>
      </c>
      <c r="E56">
        <v>3</v>
      </c>
    </row>
    <row r="57" spans="1:5" x14ac:dyDescent="0.35">
      <c r="A57" t="s">
        <v>18</v>
      </c>
      <c r="B57">
        <v>7</v>
      </c>
      <c r="C57" t="s">
        <v>8</v>
      </c>
      <c r="D57">
        <v>0</v>
      </c>
      <c r="E57">
        <v>4</v>
      </c>
    </row>
    <row r="58" spans="1:5" x14ac:dyDescent="0.35">
      <c r="A58" t="s">
        <v>18</v>
      </c>
      <c r="B58">
        <v>7</v>
      </c>
      <c r="C58" t="s">
        <v>9</v>
      </c>
      <c r="D58">
        <v>1</v>
      </c>
      <c r="E58">
        <v>5</v>
      </c>
    </row>
    <row r="59" spans="1:5" x14ac:dyDescent="0.35">
      <c r="A59" t="s">
        <v>18</v>
      </c>
      <c r="B59">
        <v>7</v>
      </c>
      <c r="C59" t="s">
        <v>10</v>
      </c>
      <c r="D59">
        <v>0</v>
      </c>
      <c r="E59">
        <v>6</v>
      </c>
    </row>
    <row r="60" spans="1:5" x14ac:dyDescent="0.35">
      <c r="A60" t="s">
        <v>18</v>
      </c>
      <c r="B60">
        <v>7</v>
      </c>
      <c r="C60" t="s">
        <v>11</v>
      </c>
      <c r="D60">
        <v>0</v>
      </c>
      <c r="E60">
        <v>7</v>
      </c>
    </row>
    <row r="61" spans="1:5" x14ac:dyDescent="0.35">
      <c r="A61" t="s">
        <v>18</v>
      </c>
      <c r="B61">
        <v>7</v>
      </c>
      <c r="C61" t="s">
        <v>12</v>
      </c>
      <c r="D61">
        <v>0</v>
      </c>
      <c r="E61">
        <v>8</v>
      </c>
    </row>
    <row r="62" spans="1:5" x14ac:dyDescent="0.35">
      <c r="A62" t="s">
        <v>24</v>
      </c>
      <c r="B62">
        <v>15</v>
      </c>
      <c r="C62" t="s">
        <v>1</v>
      </c>
      <c r="D62">
        <v>3</v>
      </c>
      <c r="E62">
        <v>9</v>
      </c>
    </row>
    <row r="63" spans="1:5" x14ac:dyDescent="0.35">
      <c r="A63" t="s">
        <v>24</v>
      </c>
      <c r="B63">
        <v>15</v>
      </c>
      <c r="C63" t="s">
        <v>2</v>
      </c>
      <c r="D63">
        <v>0</v>
      </c>
      <c r="E63">
        <v>10</v>
      </c>
    </row>
    <row r="64" spans="1:5" x14ac:dyDescent="0.35">
      <c r="A64" t="s">
        <v>24</v>
      </c>
      <c r="B64">
        <v>15</v>
      </c>
      <c r="C64" t="s">
        <v>3</v>
      </c>
      <c r="D64">
        <v>1</v>
      </c>
      <c r="E64">
        <v>11</v>
      </c>
    </row>
    <row r="65" spans="1:5" x14ac:dyDescent="0.35">
      <c r="A65" t="s">
        <v>24</v>
      </c>
      <c r="B65">
        <v>15</v>
      </c>
      <c r="C65" t="s">
        <v>4</v>
      </c>
      <c r="D65">
        <v>0</v>
      </c>
      <c r="E65">
        <v>12</v>
      </c>
    </row>
    <row r="66" spans="1:5" x14ac:dyDescent="0.35">
      <c r="A66" t="s">
        <v>24</v>
      </c>
      <c r="B66">
        <v>15</v>
      </c>
      <c r="C66" t="s">
        <v>5</v>
      </c>
      <c r="D66">
        <v>2</v>
      </c>
      <c r="E66">
        <v>1</v>
      </c>
    </row>
    <row r="67" spans="1:5" x14ac:dyDescent="0.35">
      <c r="A67" t="s">
        <v>24</v>
      </c>
      <c r="B67">
        <v>15</v>
      </c>
      <c r="C67" t="s">
        <v>6</v>
      </c>
      <c r="D67">
        <v>2</v>
      </c>
      <c r="E67">
        <v>2</v>
      </c>
    </row>
    <row r="68" spans="1:5" x14ac:dyDescent="0.35">
      <c r="A68" t="s">
        <v>24</v>
      </c>
      <c r="B68">
        <v>15</v>
      </c>
      <c r="C68" t="s">
        <v>7</v>
      </c>
      <c r="D68">
        <v>0</v>
      </c>
      <c r="E68">
        <v>3</v>
      </c>
    </row>
    <row r="69" spans="1:5" x14ac:dyDescent="0.35">
      <c r="A69" t="s">
        <v>24</v>
      </c>
      <c r="B69">
        <v>15</v>
      </c>
      <c r="C69" t="s">
        <v>8</v>
      </c>
      <c r="D69">
        <v>3</v>
      </c>
      <c r="E69">
        <v>4</v>
      </c>
    </row>
    <row r="70" spans="1:5" x14ac:dyDescent="0.35">
      <c r="A70" t="s">
        <v>24</v>
      </c>
      <c r="B70">
        <v>15</v>
      </c>
      <c r="C70" t="s">
        <v>9</v>
      </c>
      <c r="D70">
        <v>2</v>
      </c>
      <c r="E70">
        <v>5</v>
      </c>
    </row>
    <row r="71" spans="1:5" x14ac:dyDescent="0.35">
      <c r="A71" t="s">
        <v>24</v>
      </c>
      <c r="B71">
        <v>15</v>
      </c>
      <c r="C71" t="s">
        <v>10</v>
      </c>
      <c r="D71">
        <v>2</v>
      </c>
      <c r="E71">
        <v>6</v>
      </c>
    </row>
    <row r="72" spans="1:5" x14ac:dyDescent="0.35">
      <c r="A72" t="s">
        <v>24</v>
      </c>
      <c r="B72">
        <v>15</v>
      </c>
      <c r="C72" t="s">
        <v>11</v>
      </c>
      <c r="D72">
        <v>0</v>
      </c>
      <c r="E72">
        <v>7</v>
      </c>
    </row>
    <row r="73" spans="1:5" x14ac:dyDescent="0.35">
      <c r="A73" t="s">
        <v>24</v>
      </c>
      <c r="B73">
        <v>15</v>
      </c>
      <c r="C73" t="s">
        <v>12</v>
      </c>
      <c r="D73">
        <v>0</v>
      </c>
      <c r="E73">
        <v>8</v>
      </c>
    </row>
    <row r="74" spans="1:5" x14ac:dyDescent="0.35">
      <c r="A74" t="s">
        <v>20</v>
      </c>
      <c r="B74">
        <v>30</v>
      </c>
      <c r="C74" t="s">
        <v>1</v>
      </c>
      <c r="D74">
        <v>1</v>
      </c>
      <c r="E74">
        <v>9</v>
      </c>
    </row>
    <row r="75" spans="1:5" x14ac:dyDescent="0.35">
      <c r="A75" t="s">
        <v>20</v>
      </c>
      <c r="B75">
        <v>30</v>
      </c>
      <c r="C75" t="s">
        <v>2</v>
      </c>
      <c r="D75">
        <v>0</v>
      </c>
      <c r="E75">
        <v>10</v>
      </c>
    </row>
    <row r="76" spans="1:5" x14ac:dyDescent="0.35">
      <c r="A76" t="s">
        <v>20</v>
      </c>
      <c r="B76">
        <v>30</v>
      </c>
      <c r="C76" t="s">
        <v>3</v>
      </c>
      <c r="D76">
        <v>1</v>
      </c>
      <c r="E76">
        <v>11</v>
      </c>
    </row>
    <row r="77" spans="1:5" x14ac:dyDescent="0.35">
      <c r="A77" t="s">
        <v>20</v>
      </c>
      <c r="B77">
        <v>30</v>
      </c>
      <c r="C77" t="s">
        <v>4</v>
      </c>
      <c r="D77">
        <v>21</v>
      </c>
      <c r="E77">
        <v>12</v>
      </c>
    </row>
    <row r="78" spans="1:5" x14ac:dyDescent="0.35">
      <c r="A78" t="s">
        <v>20</v>
      </c>
      <c r="B78">
        <v>30</v>
      </c>
      <c r="C78" t="s">
        <v>5</v>
      </c>
      <c r="D78">
        <v>1</v>
      </c>
      <c r="E78">
        <v>1</v>
      </c>
    </row>
    <row r="79" spans="1:5" x14ac:dyDescent="0.35">
      <c r="A79" t="s">
        <v>20</v>
      </c>
      <c r="B79">
        <v>30</v>
      </c>
      <c r="C79" t="s">
        <v>6</v>
      </c>
      <c r="D79">
        <v>0</v>
      </c>
      <c r="E79">
        <v>2</v>
      </c>
    </row>
    <row r="80" spans="1:5" x14ac:dyDescent="0.35">
      <c r="A80" t="s">
        <v>20</v>
      </c>
      <c r="B80">
        <v>30</v>
      </c>
      <c r="C80" t="s">
        <v>7</v>
      </c>
      <c r="D80">
        <v>4</v>
      </c>
      <c r="E80">
        <v>3</v>
      </c>
    </row>
    <row r="81" spans="1:5" x14ac:dyDescent="0.35">
      <c r="A81" t="s">
        <v>20</v>
      </c>
      <c r="B81">
        <v>30</v>
      </c>
      <c r="C81" t="s">
        <v>8</v>
      </c>
      <c r="D81">
        <v>0</v>
      </c>
      <c r="E81">
        <v>4</v>
      </c>
    </row>
    <row r="82" spans="1:5" x14ac:dyDescent="0.35">
      <c r="A82" t="s">
        <v>20</v>
      </c>
      <c r="B82">
        <v>30</v>
      </c>
      <c r="C82" t="s">
        <v>9</v>
      </c>
      <c r="D82">
        <v>0</v>
      </c>
      <c r="E82">
        <v>5</v>
      </c>
    </row>
    <row r="83" spans="1:5" x14ac:dyDescent="0.35">
      <c r="A83" t="s">
        <v>20</v>
      </c>
      <c r="B83">
        <v>30</v>
      </c>
      <c r="C83" t="s">
        <v>10</v>
      </c>
      <c r="D83">
        <v>0</v>
      </c>
      <c r="E83">
        <v>6</v>
      </c>
    </row>
    <row r="84" spans="1:5" x14ac:dyDescent="0.35">
      <c r="A84" t="s">
        <v>20</v>
      </c>
      <c r="B84">
        <v>30</v>
      </c>
      <c r="C84" t="s">
        <v>11</v>
      </c>
      <c r="D84">
        <v>2</v>
      </c>
      <c r="E84">
        <v>7</v>
      </c>
    </row>
    <row r="85" spans="1:5" x14ac:dyDescent="0.35">
      <c r="A85" t="s">
        <v>20</v>
      </c>
      <c r="B85">
        <v>30</v>
      </c>
      <c r="C85" t="s">
        <v>12</v>
      </c>
      <c r="D85">
        <v>0</v>
      </c>
      <c r="E85">
        <v>8</v>
      </c>
    </row>
    <row r="86" spans="1:5" x14ac:dyDescent="0.35">
      <c r="A86" t="s">
        <v>19</v>
      </c>
      <c r="B86">
        <v>49</v>
      </c>
      <c r="C86" t="s">
        <v>1</v>
      </c>
      <c r="D86">
        <v>0</v>
      </c>
      <c r="E86">
        <v>9</v>
      </c>
    </row>
    <row r="87" spans="1:5" x14ac:dyDescent="0.35">
      <c r="A87" t="s">
        <v>19</v>
      </c>
      <c r="B87">
        <v>49</v>
      </c>
      <c r="C87" t="s">
        <v>2</v>
      </c>
      <c r="D87">
        <v>3</v>
      </c>
      <c r="E87">
        <v>10</v>
      </c>
    </row>
    <row r="88" spans="1:5" x14ac:dyDescent="0.35">
      <c r="A88" t="s">
        <v>19</v>
      </c>
      <c r="B88">
        <v>49</v>
      </c>
      <c r="C88" t="s">
        <v>3</v>
      </c>
      <c r="D88">
        <v>1</v>
      </c>
      <c r="E88">
        <v>11</v>
      </c>
    </row>
    <row r="89" spans="1:5" x14ac:dyDescent="0.35">
      <c r="A89" t="s">
        <v>19</v>
      </c>
      <c r="B89">
        <v>49</v>
      </c>
      <c r="C89" t="s">
        <v>4</v>
      </c>
      <c r="D89">
        <v>0</v>
      </c>
      <c r="E89">
        <v>12</v>
      </c>
    </row>
    <row r="90" spans="1:5" x14ac:dyDescent="0.35">
      <c r="A90" t="s">
        <v>19</v>
      </c>
      <c r="B90">
        <v>49</v>
      </c>
      <c r="C90" t="s">
        <v>5</v>
      </c>
      <c r="D90">
        <v>5</v>
      </c>
      <c r="E90">
        <v>1</v>
      </c>
    </row>
    <row r="91" spans="1:5" x14ac:dyDescent="0.35">
      <c r="A91" t="s">
        <v>19</v>
      </c>
      <c r="B91">
        <v>49</v>
      </c>
      <c r="C91" t="s">
        <v>6</v>
      </c>
      <c r="D91">
        <v>12</v>
      </c>
      <c r="E91">
        <v>2</v>
      </c>
    </row>
    <row r="92" spans="1:5" x14ac:dyDescent="0.35">
      <c r="A92" t="s">
        <v>19</v>
      </c>
      <c r="B92">
        <v>49</v>
      </c>
      <c r="C92" t="s">
        <v>7</v>
      </c>
      <c r="D92">
        <v>7</v>
      </c>
      <c r="E92">
        <v>3</v>
      </c>
    </row>
    <row r="93" spans="1:5" x14ac:dyDescent="0.35">
      <c r="A93" t="s">
        <v>19</v>
      </c>
      <c r="B93">
        <v>49</v>
      </c>
      <c r="C93" t="s">
        <v>8</v>
      </c>
      <c r="D93">
        <v>15</v>
      </c>
      <c r="E93">
        <v>4</v>
      </c>
    </row>
    <row r="94" spans="1:5" x14ac:dyDescent="0.35">
      <c r="A94" t="s">
        <v>19</v>
      </c>
      <c r="B94">
        <v>49</v>
      </c>
      <c r="C94" t="s">
        <v>9</v>
      </c>
      <c r="D94">
        <v>4</v>
      </c>
      <c r="E94">
        <v>5</v>
      </c>
    </row>
    <row r="95" spans="1:5" x14ac:dyDescent="0.35">
      <c r="A95" t="s">
        <v>19</v>
      </c>
      <c r="B95">
        <v>49</v>
      </c>
      <c r="C95" t="s">
        <v>10</v>
      </c>
      <c r="D95">
        <v>1</v>
      </c>
      <c r="E95">
        <v>6</v>
      </c>
    </row>
    <row r="96" spans="1:5" x14ac:dyDescent="0.35">
      <c r="A96" t="s">
        <v>19</v>
      </c>
      <c r="B96">
        <v>49</v>
      </c>
      <c r="C96" t="s">
        <v>11</v>
      </c>
      <c r="D96">
        <v>1</v>
      </c>
      <c r="E96">
        <v>7</v>
      </c>
    </row>
    <row r="97" spans="1:5" x14ac:dyDescent="0.35">
      <c r="A97" t="s">
        <v>19</v>
      </c>
      <c r="B97">
        <v>49</v>
      </c>
      <c r="C97" t="s">
        <v>12</v>
      </c>
      <c r="D97">
        <v>0</v>
      </c>
      <c r="E97">
        <v>8</v>
      </c>
    </row>
    <row r="98" spans="1:5" x14ac:dyDescent="0.35">
      <c r="A98" t="s">
        <v>23</v>
      </c>
      <c r="B98">
        <v>34</v>
      </c>
      <c r="C98" t="s">
        <v>1</v>
      </c>
      <c r="D98">
        <v>11</v>
      </c>
      <c r="E98">
        <v>9</v>
      </c>
    </row>
    <row r="99" spans="1:5" x14ac:dyDescent="0.35">
      <c r="A99" t="s">
        <v>23</v>
      </c>
      <c r="B99">
        <v>34</v>
      </c>
      <c r="C99" t="s">
        <v>2</v>
      </c>
      <c r="D99">
        <v>3</v>
      </c>
      <c r="E99">
        <v>10</v>
      </c>
    </row>
    <row r="100" spans="1:5" x14ac:dyDescent="0.35">
      <c r="A100" t="s">
        <v>23</v>
      </c>
      <c r="B100">
        <v>34</v>
      </c>
      <c r="C100" t="s">
        <v>3</v>
      </c>
      <c r="D100">
        <v>3</v>
      </c>
      <c r="E100">
        <v>11</v>
      </c>
    </row>
    <row r="101" spans="1:5" x14ac:dyDescent="0.35">
      <c r="A101" t="s">
        <v>23</v>
      </c>
      <c r="B101">
        <v>34</v>
      </c>
      <c r="C101" t="s">
        <v>4</v>
      </c>
      <c r="D101">
        <v>0</v>
      </c>
      <c r="E101">
        <v>12</v>
      </c>
    </row>
    <row r="102" spans="1:5" x14ac:dyDescent="0.35">
      <c r="A102" t="s">
        <v>23</v>
      </c>
      <c r="B102">
        <v>34</v>
      </c>
      <c r="C102" t="s">
        <v>5</v>
      </c>
      <c r="D102">
        <v>0</v>
      </c>
      <c r="E102">
        <v>1</v>
      </c>
    </row>
    <row r="103" spans="1:5" x14ac:dyDescent="0.35">
      <c r="A103" t="s">
        <v>23</v>
      </c>
      <c r="B103">
        <v>34</v>
      </c>
      <c r="C103" t="s">
        <v>6</v>
      </c>
      <c r="D103">
        <v>1</v>
      </c>
      <c r="E103">
        <v>2</v>
      </c>
    </row>
    <row r="104" spans="1:5" x14ac:dyDescent="0.35">
      <c r="A104" t="s">
        <v>23</v>
      </c>
      <c r="B104">
        <v>34</v>
      </c>
      <c r="C104" t="s">
        <v>7</v>
      </c>
      <c r="D104">
        <v>2</v>
      </c>
      <c r="E104">
        <v>3</v>
      </c>
    </row>
    <row r="105" spans="1:5" x14ac:dyDescent="0.35">
      <c r="A105" t="s">
        <v>23</v>
      </c>
      <c r="B105">
        <v>34</v>
      </c>
      <c r="C105" t="s">
        <v>8</v>
      </c>
      <c r="D105">
        <v>2</v>
      </c>
      <c r="E105">
        <v>4</v>
      </c>
    </row>
    <row r="106" spans="1:5" x14ac:dyDescent="0.35">
      <c r="A106" t="s">
        <v>23</v>
      </c>
      <c r="B106">
        <v>34</v>
      </c>
      <c r="C106" t="s">
        <v>9</v>
      </c>
      <c r="D106">
        <v>1</v>
      </c>
      <c r="E106">
        <v>5</v>
      </c>
    </row>
    <row r="107" spans="1:5" x14ac:dyDescent="0.35">
      <c r="A107" t="s">
        <v>23</v>
      </c>
      <c r="B107">
        <v>34</v>
      </c>
      <c r="C107" t="s">
        <v>10</v>
      </c>
      <c r="D107">
        <v>5</v>
      </c>
      <c r="E107">
        <v>6</v>
      </c>
    </row>
    <row r="108" spans="1:5" x14ac:dyDescent="0.35">
      <c r="A108" t="s">
        <v>23</v>
      </c>
      <c r="B108">
        <v>34</v>
      </c>
      <c r="C108" t="s">
        <v>11</v>
      </c>
      <c r="D108">
        <v>6</v>
      </c>
      <c r="E108">
        <v>7</v>
      </c>
    </row>
    <row r="109" spans="1:5" x14ac:dyDescent="0.35">
      <c r="A109" t="s">
        <v>23</v>
      </c>
      <c r="B109">
        <v>34</v>
      </c>
      <c r="C109" t="s">
        <v>12</v>
      </c>
      <c r="D109">
        <v>0</v>
      </c>
      <c r="E109">
        <v>8</v>
      </c>
    </row>
    <row r="110" spans="1:5" x14ac:dyDescent="0.35">
      <c r="A110" t="s">
        <v>22</v>
      </c>
      <c r="B110">
        <v>47</v>
      </c>
      <c r="C110" t="s">
        <v>1</v>
      </c>
      <c r="D110">
        <v>6</v>
      </c>
      <c r="E110">
        <v>9</v>
      </c>
    </row>
    <row r="111" spans="1:5" x14ac:dyDescent="0.35">
      <c r="A111" t="s">
        <v>22</v>
      </c>
      <c r="B111">
        <v>47</v>
      </c>
      <c r="C111" t="s">
        <v>2</v>
      </c>
      <c r="D111">
        <v>11</v>
      </c>
      <c r="E111">
        <v>10</v>
      </c>
    </row>
    <row r="112" spans="1:5" x14ac:dyDescent="0.35">
      <c r="A112" t="s">
        <v>22</v>
      </c>
      <c r="B112">
        <v>47</v>
      </c>
      <c r="C112" t="s">
        <v>3</v>
      </c>
      <c r="D112">
        <v>4</v>
      </c>
      <c r="E112">
        <v>11</v>
      </c>
    </row>
    <row r="113" spans="1:5" x14ac:dyDescent="0.35">
      <c r="A113" t="s">
        <v>22</v>
      </c>
      <c r="B113">
        <v>47</v>
      </c>
      <c r="C113" t="s">
        <v>4</v>
      </c>
      <c r="D113">
        <v>4</v>
      </c>
      <c r="E113">
        <v>12</v>
      </c>
    </row>
    <row r="114" spans="1:5" x14ac:dyDescent="0.35">
      <c r="A114" t="s">
        <v>22</v>
      </c>
      <c r="B114">
        <v>47</v>
      </c>
      <c r="C114" t="s">
        <v>5</v>
      </c>
      <c r="D114">
        <v>0</v>
      </c>
      <c r="E114">
        <v>1</v>
      </c>
    </row>
    <row r="115" spans="1:5" x14ac:dyDescent="0.35">
      <c r="A115" t="s">
        <v>22</v>
      </c>
      <c r="B115">
        <v>47</v>
      </c>
      <c r="C115" t="s">
        <v>6</v>
      </c>
      <c r="D115">
        <v>0</v>
      </c>
      <c r="E115">
        <v>2</v>
      </c>
    </row>
    <row r="116" spans="1:5" x14ac:dyDescent="0.35">
      <c r="A116" t="s">
        <v>22</v>
      </c>
      <c r="B116">
        <v>47</v>
      </c>
      <c r="C116" t="s">
        <v>7</v>
      </c>
      <c r="D116">
        <v>0</v>
      </c>
      <c r="E116">
        <v>3</v>
      </c>
    </row>
    <row r="117" spans="1:5" x14ac:dyDescent="0.35">
      <c r="A117" t="s">
        <v>22</v>
      </c>
      <c r="B117">
        <v>47</v>
      </c>
      <c r="C117" t="s">
        <v>8</v>
      </c>
      <c r="D117">
        <v>11</v>
      </c>
      <c r="E117">
        <v>4</v>
      </c>
    </row>
    <row r="118" spans="1:5" x14ac:dyDescent="0.35">
      <c r="A118" t="s">
        <v>22</v>
      </c>
      <c r="B118">
        <v>47</v>
      </c>
      <c r="C118" t="s">
        <v>9</v>
      </c>
      <c r="D118">
        <v>11</v>
      </c>
      <c r="E118">
        <v>5</v>
      </c>
    </row>
    <row r="119" spans="1:5" x14ac:dyDescent="0.35">
      <c r="A119" t="s">
        <v>22</v>
      </c>
      <c r="B119">
        <v>47</v>
      </c>
      <c r="C119" t="s">
        <v>10</v>
      </c>
      <c r="D119">
        <v>0</v>
      </c>
      <c r="E119">
        <v>6</v>
      </c>
    </row>
    <row r="120" spans="1:5" x14ac:dyDescent="0.35">
      <c r="A120" t="s">
        <v>22</v>
      </c>
      <c r="B120">
        <v>47</v>
      </c>
      <c r="C120" t="s">
        <v>11</v>
      </c>
      <c r="D120">
        <v>0</v>
      </c>
      <c r="E120">
        <v>7</v>
      </c>
    </row>
    <row r="121" spans="1:5" x14ac:dyDescent="0.35">
      <c r="A121" t="s">
        <v>22</v>
      </c>
      <c r="B121">
        <v>47</v>
      </c>
      <c r="C121" t="s">
        <v>12</v>
      </c>
      <c r="D121">
        <v>0</v>
      </c>
      <c r="E121">
        <v>8</v>
      </c>
    </row>
    <row r="122" spans="1:5" x14ac:dyDescent="0.35">
      <c r="A122" t="s">
        <v>21</v>
      </c>
      <c r="B122">
        <v>143</v>
      </c>
      <c r="C122" t="s">
        <v>1</v>
      </c>
      <c r="D122">
        <v>3</v>
      </c>
      <c r="E122">
        <v>9</v>
      </c>
    </row>
    <row r="123" spans="1:5" x14ac:dyDescent="0.35">
      <c r="A123" t="s">
        <v>21</v>
      </c>
      <c r="B123">
        <v>143</v>
      </c>
      <c r="C123" t="s">
        <v>2</v>
      </c>
      <c r="D123">
        <v>26</v>
      </c>
      <c r="E123">
        <v>10</v>
      </c>
    </row>
    <row r="124" spans="1:5" x14ac:dyDescent="0.35">
      <c r="A124" t="s">
        <v>21</v>
      </c>
      <c r="B124">
        <v>143</v>
      </c>
      <c r="C124" t="s">
        <v>3</v>
      </c>
      <c r="D124">
        <v>11</v>
      </c>
      <c r="E124">
        <v>11</v>
      </c>
    </row>
    <row r="125" spans="1:5" x14ac:dyDescent="0.35">
      <c r="A125" t="s">
        <v>21</v>
      </c>
      <c r="B125">
        <v>143</v>
      </c>
      <c r="C125" t="s">
        <v>4</v>
      </c>
      <c r="D125">
        <v>6</v>
      </c>
      <c r="E125">
        <v>12</v>
      </c>
    </row>
    <row r="126" spans="1:5" x14ac:dyDescent="0.35">
      <c r="A126" t="s">
        <v>21</v>
      </c>
      <c r="B126">
        <v>143</v>
      </c>
      <c r="C126" t="s">
        <v>5</v>
      </c>
      <c r="D126">
        <v>1</v>
      </c>
      <c r="E126">
        <v>1</v>
      </c>
    </row>
    <row r="127" spans="1:5" x14ac:dyDescent="0.35">
      <c r="A127" t="s">
        <v>21</v>
      </c>
      <c r="B127">
        <v>143</v>
      </c>
      <c r="C127" t="s">
        <v>6</v>
      </c>
      <c r="D127">
        <v>5</v>
      </c>
      <c r="E127">
        <v>2</v>
      </c>
    </row>
    <row r="128" spans="1:5" x14ac:dyDescent="0.35">
      <c r="A128" t="s">
        <v>21</v>
      </c>
      <c r="B128">
        <v>143</v>
      </c>
      <c r="C128" t="s">
        <v>7</v>
      </c>
      <c r="D128">
        <v>13</v>
      </c>
      <c r="E128">
        <v>3</v>
      </c>
    </row>
    <row r="129" spans="1:5" x14ac:dyDescent="0.35">
      <c r="A129" t="s">
        <v>21</v>
      </c>
      <c r="B129">
        <v>143</v>
      </c>
      <c r="C129" t="s">
        <v>8</v>
      </c>
      <c r="D129">
        <v>11</v>
      </c>
      <c r="E129">
        <v>4</v>
      </c>
    </row>
    <row r="130" spans="1:5" x14ac:dyDescent="0.35">
      <c r="A130" t="s">
        <v>21</v>
      </c>
      <c r="B130">
        <v>143</v>
      </c>
      <c r="C130" t="s">
        <v>9</v>
      </c>
      <c r="D130">
        <v>35</v>
      </c>
      <c r="E130">
        <v>5</v>
      </c>
    </row>
    <row r="131" spans="1:5" x14ac:dyDescent="0.35">
      <c r="A131" t="s">
        <v>21</v>
      </c>
      <c r="B131">
        <v>143</v>
      </c>
      <c r="C131" t="s">
        <v>10</v>
      </c>
      <c r="D131">
        <v>12</v>
      </c>
      <c r="E131">
        <v>6</v>
      </c>
    </row>
    <row r="132" spans="1:5" x14ac:dyDescent="0.35">
      <c r="A132" t="s">
        <v>21</v>
      </c>
      <c r="B132">
        <v>143</v>
      </c>
      <c r="C132" t="s">
        <v>11</v>
      </c>
      <c r="D132">
        <v>20</v>
      </c>
      <c r="E132">
        <v>7</v>
      </c>
    </row>
    <row r="133" spans="1:5" x14ac:dyDescent="0.35">
      <c r="A133" t="s">
        <v>21</v>
      </c>
      <c r="B133">
        <v>143</v>
      </c>
      <c r="C133" t="s">
        <v>12</v>
      </c>
      <c r="D133">
        <v>0</v>
      </c>
      <c r="E133">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4D210-A8A5-49B6-A439-8FBE7FF128B5}">
  <dimension ref="A1"/>
  <sheetViews>
    <sheetView showGridLines="0" tabSelected="1" zoomScale="53" workbookViewId="0">
      <selection activeCell="AD16" sqref="AD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05F2-FB8F-424E-8CE5-047554832D5C}">
  <dimension ref="A3:E17"/>
  <sheetViews>
    <sheetView topLeftCell="A2" zoomScale="93" workbookViewId="0">
      <selection activeCell="A14" sqref="A14"/>
    </sheetView>
  </sheetViews>
  <sheetFormatPr defaultRowHeight="14.5" x14ac:dyDescent="0.35"/>
  <cols>
    <col min="1" max="1" width="13" bestFit="1" customWidth="1"/>
    <col min="2" max="2" width="16.08984375" bestFit="1" customWidth="1"/>
    <col min="3" max="3" width="23.54296875" bestFit="1" customWidth="1"/>
    <col min="4" max="4" width="26.453125" bestFit="1" customWidth="1"/>
    <col min="5" max="6" width="10.54296875" bestFit="1" customWidth="1"/>
    <col min="7" max="7" width="8.36328125" bestFit="1" customWidth="1"/>
    <col min="8" max="8" width="22.90625" bestFit="1" customWidth="1"/>
    <col min="9" max="9" width="23.36328125" bestFit="1" customWidth="1"/>
    <col min="10" max="10" width="7.453125" bestFit="1" customWidth="1"/>
    <col min="11" max="11" width="25.54296875" bestFit="1" customWidth="1"/>
    <col min="12" max="12" width="26.08984375" bestFit="1" customWidth="1"/>
    <col min="13" max="14" width="10.36328125" bestFit="1" customWidth="1"/>
  </cols>
  <sheetData>
    <row r="3" spans="1:5" x14ac:dyDescent="0.35">
      <c r="A3" s="8" t="s">
        <v>30</v>
      </c>
      <c r="B3" s="8" t="s">
        <v>29</v>
      </c>
    </row>
    <row r="4" spans="1:5" x14ac:dyDescent="0.35">
      <c r="A4" s="8" t="s">
        <v>27</v>
      </c>
      <c r="B4" t="s">
        <v>19</v>
      </c>
      <c r="C4" t="s">
        <v>16</v>
      </c>
      <c r="D4" t="s">
        <v>21</v>
      </c>
      <c r="E4" t="s">
        <v>28</v>
      </c>
    </row>
    <row r="5" spans="1:5" x14ac:dyDescent="0.35">
      <c r="A5" s="9" t="s">
        <v>4</v>
      </c>
      <c r="B5">
        <v>0</v>
      </c>
      <c r="C5">
        <v>23</v>
      </c>
      <c r="D5">
        <v>6</v>
      </c>
      <c r="E5">
        <v>29</v>
      </c>
    </row>
    <row r="6" spans="1:5" x14ac:dyDescent="0.35">
      <c r="A6" s="9" t="s">
        <v>3</v>
      </c>
      <c r="B6">
        <v>1</v>
      </c>
      <c r="C6">
        <v>34</v>
      </c>
      <c r="D6">
        <v>11</v>
      </c>
      <c r="E6">
        <v>46</v>
      </c>
    </row>
    <row r="7" spans="1:5" x14ac:dyDescent="0.35">
      <c r="A7" s="9" t="s">
        <v>2</v>
      </c>
      <c r="B7">
        <v>3</v>
      </c>
      <c r="C7">
        <v>21</v>
      </c>
      <c r="D7">
        <v>26</v>
      </c>
      <c r="E7">
        <v>50</v>
      </c>
    </row>
    <row r="8" spans="1:5" x14ac:dyDescent="0.35">
      <c r="A8" s="9" t="s">
        <v>1</v>
      </c>
      <c r="B8">
        <v>0</v>
      </c>
      <c r="C8">
        <v>32</v>
      </c>
      <c r="D8">
        <v>3</v>
      </c>
      <c r="E8">
        <v>35</v>
      </c>
    </row>
    <row r="9" spans="1:5" x14ac:dyDescent="0.35">
      <c r="A9" s="9" t="s">
        <v>12</v>
      </c>
      <c r="B9">
        <v>0</v>
      </c>
      <c r="C9">
        <v>0</v>
      </c>
      <c r="D9">
        <v>0</v>
      </c>
      <c r="E9">
        <v>0</v>
      </c>
    </row>
    <row r="10" spans="1:5" x14ac:dyDescent="0.35">
      <c r="A10" s="9" t="s">
        <v>11</v>
      </c>
      <c r="B10">
        <v>1</v>
      </c>
      <c r="C10">
        <v>9</v>
      </c>
      <c r="D10">
        <v>20</v>
      </c>
      <c r="E10">
        <v>30</v>
      </c>
    </row>
    <row r="11" spans="1:5" x14ac:dyDescent="0.35">
      <c r="A11" s="9" t="s">
        <v>10</v>
      </c>
      <c r="B11">
        <v>1</v>
      </c>
      <c r="C11">
        <v>8</v>
      </c>
      <c r="D11">
        <v>12</v>
      </c>
      <c r="E11">
        <v>21</v>
      </c>
    </row>
    <row r="12" spans="1:5" x14ac:dyDescent="0.35">
      <c r="A12" s="9" t="s">
        <v>9</v>
      </c>
      <c r="B12">
        <v>4</v>
      </c>
      <c r="C12">
        <v>9</v>
      </c>
      <c r="D12">
        <v>35</v>
      </c>
      <c r="E12">
        <v>48</v>
      </c>
    </row>
    <row r="13" spans="1:5" x14ac:dyDescent="0.35">
      <c r="A13" s="9" t="s">
        <v>8</v>
      </c>
      <c r="B13">
        <v>15</v>
      </c>
      <c r="C13">
        <v>39</v>
      </c>
      <c r="D13">
        <v>11</v>
      </c>
      <c r="E13">
        <v>65</v>
      </c>
    </row>
    <row r="14" spans="1:5" x14ac:dyDescent="0.35">
      <c r="A14" s="9" t="s">
        <v>7</v>
      </c>
      <c r="B14">
        <v>7</v>
      </c>
      <c r="C14">
        <v>57</v>
      </c>
      <c r="D14">
        <v>13</v>
      </c>
      <c r="E14">
        <v>77</v>
      </c>
    </row>
    <row r="15" spans="1:5" x14ac:dyDescent="0.35">
      <c r="A15" s="9" t="s">
        <v>6</v>
      </c>
      <c r="B15">
        <v>12</v>
      </c>
      <c r="C15">
        <v>50</v>
      </c>
      <c r="D15">
        <v>5</v>
      </c>
      <c r="E15">
        <v>67</v>
      </c>
    </row>
    <row r="16" spans="1:5" x14ac:dyDescent="0.35">
      <c r="A16" s="9" t="s">
        <v>5</v>
      </c>
      <c r="B16">
        <v>5</v>
      </c>
      <c r="C16">
        <v>40</v>
      </c>
      <c r="D16">
        <v>1</v>
      </c>
      <c r="E16">
        <v>46</v>
      </c>
    </row>
    <row r="17" spans="1:5" x14ac:dyDescent="0.35">
      <c r="A17" s="9" t="s">
        <v>28</v>
      </c>
      <c r="B17">
        <v>49</v>
      </c>
      <c r="C17">
        <v>322</v>
      </c>
      <c r="D17">
        <v>143</v>
      </c>
      <c r="E17">
        <v>514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AEA8-142B-49D8-842C-4B47DD964E08}">
  <dimension ref="A3:B16"/>
  <sheetViews>
    <sheetView topLeftCell="A3" workbookViewId="0">
      <selection activeCell="A5" sqref="A5"/>
    </sheetView>
  </sheetViews>
  <sheetFormatPr defaultRowHeight="14.5" x14ac:dyDescent="0.35"/>
  <cols>
    <col min="1" max="1" width="12.453125" bestFit="1" customWidth="1"/>
    <col min="2" max="2" width="12.08984375" bestFit="1" customWidth="1"/>
  </cols>
  <sheetData>
    <row r="3" spans="1:2" x14ac:dyDescent="0.35">
      <c r="A3" s="8" t="s">
        <v>27</v>
      </c>
      <c r="B3" t="s">
        <v>30</v>
      </c>
    </row>
    <row r="4" spans="1:2" x14ac:dyDescent="0.35">
      <c r="A4" s="9" t="s">
        <v>5</v>
      </c>
      <c r="B4">
        <v>50</v>
      </c>
    </row>
    <row r="5" spans="1:2" x14ac:dyDescent="0.35">
      <c r="A5" s="9" t="s">
        <v>6</v>
      </c>
      <c r="B5">
        <v>71</v>
      </c>
    </row>
    <row r="6" spans="1:2" x14ac:dyDescent="0.35">
      <c r="A6" s="9" t="s">
        <v>7</v>
      </c>
      <c r="B6">
        <v>95</v>
      </c>
    </row>
    <row r="7" spans="1:2" x14ac:dyDescent="0.35">
      <c r="A7" s="9" t="s">
        <v>8</v>
      </c>
      <c r="B7">
        <v>89</v>
      </c>
    </row>
    <row r="8" spans="1:2" x14ac:dyDescent="0.35">
      <c r="A8" s="9" t="s">
        <v>9</v>
      </c>
      <c r="B8">
        <v>81</v>
      </c>
    </row>
    <row r="9" spans="1:2" x14ac:dyDescent="0.35">
      <c r="A9" s="9" t="s">
        <v>10</v>
      </c>
      <c r="B9">
        <v>28</v>
      </c>
    </row>
    <row r="10" spans="1:2" x14ac:dyDescent="0.35">
      <c r="A10" s="9" t="s">
        <v>11</v>
      </c>
      <c r="B10">
        <v>40</v>
      </c>
    </row>
    <row r="11" spans="1:2" x14ac:dyDescent="0.35">
      <c r="A11" s="9" t="s">
        <v>12</v>
      </c>
      <c r="B11">
        <v>0</v>
      </c>
    </row>
    <row r="12" spans="1:2" x14ac:dyDescent="0.35">
      <c r="A12" s="9" t="s">
        <v>1</v>
      </c>
      <c r="B12">
        <v>59</v>
      </c>
    </row>
    <row r="13" spans="1:2" x14ac:dyDescent="0.35">
      <c r="A13" s="9" t="s">
        <v>2</v>
      </c>
      <c r="B13">
        <v>64</v>
      </c>
    </row>
    <row r="14" spans="1:2" x14ac:dyDescent="0.35">
      <c r="A14" s="9" t="s">
        <v>3</v>
      </c>
      <c r="B14">
        <v>58</v>
      </c>
    </row>
    <row r="15" spans="1:2" x14ac:dyDescent="0.35">
      <c r="A15" s="9" t="s">
        <v>4</v>
      </c>
      <c r="B15">
        <v>54</v>
      </c>
    </row>
    <row r="16" spans="1:2" x14ac:dyDescent="0.35">
      <c r="A16" s="9" t="s">
        <v>28</v>
      </c>
      <c r="B16">
        <v>689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ED6C-7A33-44E1-A9D4-77BF580964B2}">
  <dimension ref="A3:B15"/>
  <sheetViews>
    <sheetView topLeftCell="A2" workbookViewId="0">
      <selection activeCell="K5" sqref="K5"/>
    </sheetView>
  </sheetViews>
  <sheetFormatPr defaultRowHeight="14.5" x14ac:dyDescent="0.35"/>
  <cols>
    <col min="1" max="1" width="25" bestFit="1" customWidth="1"/>
    <col min="2" max="2" width="12.08984375" bestFit="1" customWidth="1"/>
  </cols>
  <sheetData>
    <row r="3" spans="1:2" x14ac:dyDescent="0.35">
      <c r="A3" s="8" t="s">
        <v>27</v>
      </c>
      <c r="B3" t="s">
        <v>30</v>
      </c>
    </row>
    <row r="4" spans="1:2" x14ac:dyDescent="0.35">
      <c r="A4" s="9" t="s">
        <v>17</v>
      </c>
      <c r="B4">
        <v>9</v>
      </c>
    </row>
    <row r="5" spans="1:2" x14ac:dyDescent="0.35">
      <c r="A5" s="9" t="s">
        <v>24</v>
      </c>
      <c r="B5">
        <v>15</v>
      </c>
    </row>
    <row r="6" spans="1:2" x14ac:dyDescent="0.35">
      <c r="A6" s="9" t="s">
        <v>23</v>
      </c>
      <c r="B6">
        <v>34</v>
      </c>
    </row>
    <row r="7" spans="1:2" x14ac:dyDescent="0.35">
      <c r="A7" s="9" t="s">
        <v>20</v>
      </c>
      <c r="B7">
        <v>30</v>
      </c>
    </row>
    <row r="8" spans="1:2" x14ac:dyDescent="0.35">
      <c r="A8" s="9" t="s">
        <v>19</v>
      </c>
      <c r="B8">
        <v>49</v>
      </c>
    </row>
    <row r="9" spans="1:2" x14ac:dyDescent="0.35">
      <c r="A9" s="9" t="s">
        <v>14</v>
      </c>
      <c r="B9">
        <v>33</v>
      </c>
    </row>
    <row r="10" spans="1:2" x14ac:dyDescent="0.35">
      <c r="A10" s="9" t="s">
        <v>16</v>
      </c>
      <c r="B10">
        <v>322</v>
      </c>
    </row>
    <row r="11" spans="1:2" x14ac:dyDescent="0.35">
      <c r="A11" s="9" t="s">
        <v>22</v>
      </c>
      <c r="B11">
        <v>47</v>
      </c>
    </row>
    <row r="12" spans="1:2" x14ac:dyDescent="0.35">
      <c r="A12" s="9" t="s">
        <v>15</v>
      </c>
      <c r="B12">
        <v>0</v>
      </c>
    </row>
    <row r="13" spans="1:2" x14ac:dyDescent="0.35">
      <c r="A13" s="9" t="s">
        <v>18</v>
      </c>
      <c r="B13">
        <v>7</v>
      </c>
    </row>
    <row r="14" spans="1:2" x14ac:dyDescent="0.35">
      <c r="A14" s="9" t="s">
        <v>21</v>
      </c>
      <c r="B14">
        <v>143</v>
      </c>
    </row>
    <row r="15" spans="1:2" x14ac:dyDescent="0.35">
      <c r="A15" s="9" t="s">
        <v>28</v>
      </c>
      <c r="B15">
        <v>689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B1CE-AD21-4B24-950D-905B8B0EBA62}">
  <dimension ref="A1:B16"/>
  <sheetViews>
    <sheetView workbookViewId="0">
      <selection activeCell="B1" sqref="B1"/>
    </sheetView>
  </sheetViews>
  <sheetFormatPr defaultRowHeight="14.5" x14ac:dyDescent="0.35"/>
  <cols>
    <col min="1" max="1" width="13.453125" bestFit="1" customWidth="1"/>
    <col min="2" max="2" width="24.26953125" bestFit="1" customWidth="1"/>
  </cols>
  <sheetData>
    <row r="1" spans="1:2" x14ac:dyDescent="0.35">
      <c r="A1" s="8" t="s">
        <v>0</v>
      </c>
      <c r="B1" t="s">
        <v>16</v>
      </c>
    </row>
    <row r="3" spans="1:2" x14ac:dyDescent="0.35">
      <c r="A3" s="8" t="s">
        <v>27</v>
      </c>
      <c r="B3" t="s">
        <v>30</v>
      </c>
    </row>
    <row r="4" spans="1:2" x14ac:dyDescent="0.35">
      <c r="A4" s="9" t="s">
        <v>5</v>
      </c>
      <c r="B4">
        <v>40</v>
      </c>
    </row>
    <row r="5" spans="1:2" x14ac:dyDescent="0.35">
      <c r="A5" s="9" t="s">
        <v>6</v>
      </c>
      <c r="B5">
        <v>50</v>
      </c>
    </row>
    <row r="6" spans="1:2" x14ac:dyDescent="0.35">
      <c r="A6" s="9" t="s">
        <v>7</v>
      </c>
      <c r="B6">
        <v>57</v>
      </c>
    </row>
    <row r="7" spans="1:2" x14ac:dyDescent="0.35">
      <c r="A7" s="9" t="s">
        <v>8</v>
      </c>
      <c r="B7">
        <v>39</v>
      </c>
    </row>
    <row r="8" spans="1:2" x14ac:dyDescent="0.35">
      <c r="A8" s="9" t="s">
        <v>9</v>
      </c>
      <c r="B8">
        <v>9</v>
      </c>
    </row>
    <row r="9" spans="1:2" x14ac:dyDescent="0.35">
      <c r="A9" s="9" t="s">
        <v>10</v>
      </c>
      <c r="B9">
        <v>8</v>
      </c>
    </row>
    <row r="10" spans="1:2" x14ac:dyDescent="0.35">
      <c r="A10" s="9" t="s">
        <v>11</v>
      </c>
      <c r="B10">
        <v>9</v>
      </c>
    </row>
    <row r="11" spans="1:2" x14ac:dyDescent="0.35">
      <c r="A11" s="9" t="s">
        <v>12</v>
      </c>
      <c r="B11">
        <v>0</v>
      </c>
    </row>
    <row r="12" spans="1:2" x14ac:dyDescent="0.35">
      <c r="A12" s="9" t="s">
        <v>1</v>
      </c>
      <c r="B12">
        <v>32</v>
      </c>
    </row>
    <row r="13" spans="1:2" x14ac:dyDescent="0.35">
      <c r="A13" s="9" t="s">
        <v>2</v>
      </c>
      <c r="B13">
        <v>21</v>
      </c>
    </row>
    <row r="14" spans="1:2" x14ac:dyDescent="0.35">
      <c r="A14" s="9" t="s">
        <v>3</v>
      </c>
      <c r="B14">
        <v>34</v>
      </c>
    </row>
    <row r="15" spans="1:2" x14ac:dyDescent="0.35">
      <c r="A15" s="9" t="s">
        <v>4</v>
      </c>
      <c r="B15">
        <v>23</v>
      </c>
    </row>
    <row r="16" spans="1:2" x14ac:dyDescent="0.35">
      <c r="A16" s="9" t="s">
        <v>28</v>
      </c>
      <c r="B16">
        <v>322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F4F7-78A2-4331-AF2F-ACE87265E26C}">
  <dimension ref="A3:E17"/>
  <sheetViews>
    <sheetView topLeftCell="A28" workbookViewId="0">
      <selection activeCell="F15" sqref="F15"/>
    </sheetView>
  </sheetViews>
  <sheetFormatPr defaultRowHeight="14.5" x14ac:dyDescent="0.35"/>
  <cols>
    <col min="1" max="1" width="12.453125" bestFit="1" customWidth="1"/>
    <col min="2" max="2" width="15.6328125" bestFit="1" customWidth="1"/>
    <col min="3" max="3" width="22.90625" bestFit="1" customWidth="1"/>
    <col min="4" max="4" width="26.08984375" bestFit="1" customWidth="1"/>
    <col min="5" max="5" width="10.36328125" bestFit="1" customWidth="1"/>
    <col min="6" max="6" width="26.08984375" bestFit="1" customWidth="1"/>
    <col min="7" max="7" width="10.36328125" bestFit="1" customWidth="1"/>
    <col min="8" max="8" width="22.90625" bestFit="1" customWidth="1"/>
    <col min="9" max="9" width="23.36328125" bestFit="1" customWidth="1"/>
    <col min="10" max="10" width="7.453125" bestFit="1" customWidth="1"/>
    <col min="11" max="11" width="25.54296875" bestFit="1" customWidth="1"/>
    <col min="12" max="12" width="26.08984375" bestFit="1" customWidth="1"/>
    <col min="13" max="14" width="10.36328125" bestFit="1" customWidth="1"/>
  </cols>
  <sheetData>
    <row r="3" spans="1:5" x14ac:dyDescent="0.35">
      <c r="A3" s="8" t="s">
        <v>30</v>
      </c>
      <c r="B3" s="8" t="s">
        <v>29</v>
      </c>
    </row>
    <row r="4" spans="1:5" x14ac:dyDescent="0.35">
      <c r="A4" s="8" t="s">
        <v>27</v>
      </c>
      <c r="B4" t="s">
        <v>19</v>
      </c>
      <c r="C4" t="s">
        <v>16</v>
      </c>
      <c r="D4" t="s">
        <v>21</v>
      </c>
      <c r="E4" t="s">
        <v>28</v>
      </c>
    </row>
    <row r="5" spans="1:5" x14ac:dyDescent="0.35">
      <c r="A5" s="9" t="s">
        <v>5</v>
      </c>
      <c r="B5">
        <v>5</v>
      </c>
      <c r="C5">
        <v>40</v>
      </c>
      <c r="D5">
        <v>1</v>
      </c>
      <c r="E5">
        <v>46</v>
      </c>
    </row>
    <row r="6" spans="1:5" x14ac:dyDescent="0.35">
      <c r="A6" s="9" t="s">
        <v>6</v>
      </c>
      <c r="B6">
        <v>12</v>
      </c>
      <c r="C6">
        <v>50</v>
      </c>
      <c r="D6">
        <v>5</v>
      </c>
      <c r="E6">
        <v>67</v>
      </c>
    </row>
    <row r="7" spans="1:5" x14ac:dyDescent="0.35">
      <c r="A7" s="9" t="s">
        <v>7</v>
      </c>
      <c r="B7">
        <v>7</v>
      </c>
      <c r="C7">
        <v>57</v>
      </c>
      <c r="D7">
        <v>13</v>
      </c>
      <c r="E7">
        <v>77</v>
      </c>
    </row>
    <row r="8" spans="1:5" x14ac:dyDescent="0.35">
      <c r="A8" s="9" t="s">
        <v>8</v>
      </c>
      <c r="B8">
        <v>15</v>
      </c>
      <c r="C8">
        <v>39</v>
      </c>
      <c r="D8">
        <v>11</v>
      </c>
      <c r="E8">
        <v>65</v>
      </c>
    </row>
    <row r="9" spans="1:5" x14ac:dyDescent="0.35">
      <c r="A9" s="9" t="s">
        <v>9</v>
      </c>
      <c r="B9">
        <v>4</v>
      </c>
      <c r="C9">
        <v>9</v>
      </c>
      <c r="D9">
        <v>35</v>
      </c>
      <c r="E9">
        <v>48</v>
      </c>
    </row>
    <row r="10" spans="1:5" x14ac:dyDescent="0.35">
      <c r="A10" s="9" t="s">
        <v>10</v>
      </c>
      <c r="B10">
        <v>1</v>
      </c>
      <c r="C10">
        <v>8</v>
      </c>
      <c r="D10">
        <v>12</v>
      </c>
      <c r="E10">
        <v>21</v>
      </c>
    </row>
    <row r="11" spans="1:5" x14ac:dyDescent="0.35">
      <c r="A11" s="9" t="s">
        <v>11</v>
      </c>
      <c r="B11">
        <v>1</v>
      </c>
      <c r="C11">
        <v>9</v>
      </c>
      <c r="D11">
        <v>20</v>
      </c>
      <c r="E11">
        <v>30</v>
      </c>
    </row>
    <row r="12" spans="1:5" x14ac:dyDescent="0.35">
      <c r="A12" s="9" t="s">
        <v>12</v>
      </c>
      <c r="B12">
        <v>0</v>
      </c>
      <c r="C12">
        <v>0</v>
      </c>
      <c r="D12">
        <v>0</v>
      </c>
      <c r="E12">
        <v>0</v>
      </c>
    </row>
    <row r="13" spans="1:5" x14ac:dyDescent="0.35">
      <c r="A13" s="9" t="s">
        <v>1</v>
      </c>
      <c r="B13">
        <v>0</v>
      </c>
      <c r="C13">
        <v>32</v>
      </c>
      <c r="D13">
        <v>3</v>
      </c>
      <c r="E13">
        <v>35</v>
      </c>
    </row>
    <row r="14" spans="1:5" x14ac:dyDescent="0.35">
      <c r="A14" s="9" t="s">
        <v>2</v>
      </c>
      <c r="B14">
        <v>3</v>
      </c>
      <c r="C14">
        <v>21</v>
      </c>
      <c r="D14">
        <v>26</v>
      </c>
      <c r="E14">
        <v>50</v>
      </c>
    </row>
    <row r="15" spans="1:5" x14ac:dyDescent="0.35">
      <c r="A15" s="9" t="s">
        <v>3</v>
      </c>
      <c r="B15">
        <v>1</v>
      </c>
      <c r="C15">
        <v>34</v>
      </c>
      <c r="D15">
        <v>11</v>
      </c>
      <c r="E15">
        <v>46</v>
      </c>
    </row>
    <row r="16" spans="1:5" x14ac:dyDescent="0.35">
      <c r="A16" s="9" t="s">
        <v>4</v>
      </c>
      <c r="B16">
        <v>0</v>
      </c>
      <c r="C16">
        <v>23</v>
      </c>
      <c r="D16">
        <v>6</v>
      </c>
      <c r="E16">
        <v>29</v>
      </c>
    </row>
    <row r="17" spans="1:5" x14ac:dyDescent="0.35">
      <c r="A17" s="9" t="s">
        <v>28</v>
      </c>
      <c r="B17">
        <v>49</v>
      </c>
      <c r="C17">
        <v>322</v>
      </c>
      <c r="D17">
        <v>143</v>
      </c>
      <c r="E17">
        <v>514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D7215C-5245-479A-93FE-63CFBB083D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Original Env. Census Data</vt:lpstr>
      <vt:lpstr>EnvCensus</vt:lpstr>
      <vt:lpstr>Dashboard</vt:lpstr>
      <vt:lpstr>Monthly Breakdown of Top 3 Insp</vt:lpstr>
      <vt:lpstr>Total Inspections Per Month</vt:lpstr>
      <vt:lpstr>Proportion of Inspection Types </vt:lpstr>
      <vt:lpstr>Trend in Total Monthly Inspecti</vt:lpstr>
      <vt:lpstr>Monthly Totals for Most Common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2025-06-12T19:40:19Z</dcterms:created>
  <dcterms:modified xsi:type="dcterms:W3CDTF">2025-07-31T21:49:14Z</dcterms:modified>
</cp:coreProperties>
</file>