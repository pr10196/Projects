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phisf\Downloads\H2TX\ACCHD Health Data\"/>
    </mc:Choice>
  </mc:AlternateContent>
  <xr:revisionPtr revIDLastSave="0" documentId="13_ncr:1_{747AA3E6-9EFF-4B7A-A105-52C74BC2A9A3}" xr6:coauthVersionLast="47" xr6:coauthVersionMax="47" xr10:uidLastSave="{00000000-0000-0000-0000-000000000000}"/>
  <bookViews>
    <workbookView xWindow="-110" yWindow="-110" windowWidth="19420" windowHeight="10300" xr2:uid="{00000000-000D-0000-FFFF-FFFF00000000}"/>
  </bookViews>
  <sheets>
    <sheet name="Dashboard" sheetId="2" r:id="rId1"/>
    <sheet name="Women's Health Data" sheetId="1" r:id="rId2"/>
    <sheet name="Complet. Serv. (Labs Completed)" sheetId="18" r:id="rId3"/>
    <sheet name="WomensHealth" sheetId="11" state="hidden" r:id="rId4"/>
    <sheet name="Complet. Rate NoComplet. Serv. " sheetId="4" r:id="rId5"/>
    <sheet name="Follow-up Appointments by Visit" sheetId="5" r:id="rId6"/>
    <sheet name="Visit Type Distrib." sheetId="3" r:id="rId7"/>
    <sheet name="Education Provided Rate Age Gro" sheetId="8" r:id="rId8"/>
    <sheet name="Avg. Service Score by Visit Typ" sheetId="12" r:id="rId9"/>
  </sheets>
  <definedNames>
    <definedName name="ExternalData_1" localSheetId="3" hidden="1">WomensHealth!$A$1:$O$51</definedName>
    <definedName name="Slicer_Age_Group">#N/A</definedName>
    <definedName name="Slicer_Visit_Typ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D2" i="1" s="1"/>
  <c r="C3" i="1"/>
  <c r="D3" i="1" s="1"/>
  <c r="C4" i="1"/>
  <c r="D4" i="1" s="1"/>
  <c r="C5" i="1"/>
  <c r="D5" i="1" s="1"/>
  <c r="C6" i="1"/>
  <c r="D6" i="1" s="1"/>
  <c r="C7" i="1"/>
  <c r="D7" i="1" s="1"/>
  <c r="C8" i="1"/>
  <c r="D8" i="1" s="1"/>
  <c r="C9" i="1"/>
  <c r="D9" i="1" s="1"/>
  <c r="C10" i="1"/>
  <c r="D10" i="1" s="1"/>
  <c r="C11" i="1"/>
  <c r="D11" i="1" s="1"/>
  <c r="C12" i="1"/>
  <c r="D12" i="1" s="1"/>
  <c r="C13" i="1"/>
  <c r="D13" i="1" s="1"/>
  <c r="C14" i="1"/>
  <c r="D14" i="1" s="1"/>
  <c r="C15" i="1"/>
  <c r="D15" i="1" s="1"/>
  <c r="C16" i="1"/>
  <c r="D16" i="1" s="1"/>
  <c r="C17" i="1"/>
  <c r="D17" i="1" s="1"/>
  <c r="C18" i="1"/>
  <c r="D18" i="1" s="1"/>
  <c r="C19" i="1"/>
  <c r="D19" i="1" s="1"/>
  <c r="C20" i="1"/>
  <c r="D20" i="1" s="1"/>
  <c r="C21" i="1"/>
  <c r="D21" i="1" s="1"/>
  <c r="C22" i="1"/>
  <c r="D22" i="1" s="1"/>
  <c r="C23" i="1"/>
  <c r="D23" i="1" s="1"/>
  <c r="C24" i="1"/>
  <c r="D24" i="1" s="1"/>
  <c r="C25" i="1"/>
  <c r="D25" i="1" s="1"/>
  <c r="C26" i="1"/>
  <c r="D26" i="1" s="1"/>
  <c r="C27" i="1"/>
  <c r="D27" i="1" s="1"/>
  <c r="C28" i="1"/>
  <c r="D28" i="1" s="1"/>
  <c r="C29" i="1"/>
  <c r="D29" i="1" s="1"/>
  <c r="C30" i="1"/>
  <c r="D30" i="1" s="1"/>
  <c r="C31" i="1"/>
  <c r="D31" i="1" s="1"/>
  <c r="C32" i="1"/>
  <c r="D32" i="1" s="1"/>
  <c r="C33" i="1"/>
  <c r="D33" i="1" s="1"/>
  <c r="C34" i="1"/>
  <c r="D34" i="1" s="1"/>
  <c r="C35" i="1"/>
  <c r="D35" i="1" s="1"/>
  <c r="C36" i="1"/>
  <c r="D36" i="1" s="1"/>
  <c r="C37" i="1"/>
  <c r="D37" i="1" s="1"/>
  <c r="C38" i="1"/>
  <c r="D38" i="1" s="1"/>
  <c r="C39" i="1"/>
  <c r="D39" i="1" s="1"/>
  <c r="C40" i="1"/>
  <c r="D40" i="1" s="1"/>
  <c r="C41" i="1"/>
  <c r="D41" i="1" s="1"/>
  <c r="C42" i="1"/>
  <c r="D42" i="1" s="1"/>
  <c r="C43" i="1"/>
  <c r="D43" i="1" s="1"/>
  <c r="C44" i="1"/>
  <c r="D44" i="1" s="1"/>
  <c r="C45" i="1"/>
  <c r="D45" i="1" s="1"/>
  <c r="C46" i="1"/>
  <c r="D46" i="1" s="1"/>
  <c r="C47" i="1"/>
  <c r="D47" i="1" s="1"/>
  <c r="C48" i="1"/>
  <c r="D48" i="1" s="1"/>
  <c r="C49" i="1"/>
  <c r="D49" i="1" s="1"/>
  <c r="C50" i="1"/>
  <c r="D50" i="1" s="1"/>
  <c r="C51" i="1"/>
  <c r="D51" i="1" s="1"/>
  <c r="O3" i="11" a="1"/>
  <c r="O3" i="11"/>
  <c r="O4" i="11" a="1"/>
  <c r="O4" i="11"/>
  <c r="O5" i="11" a="1"/>
  <c r="O5" i="11"/>
  <c r="O6" i="11" a="1"/>
  <c r="O6" i="11"/>
  <c r="O7" i="11" a="1"/>
  <c r="O7" i="11"/>
  <c r="O8" i="11" a="1"/>
  <c r="O8" i="11"/>
  <c r="O9" i="11" a="1"/>
  <c r="O9" i="11"/>
  <c r="O10" i="11" a="1"/>
  <c r="O10" i="11"/>
  <c r="O11" i="11" a="1"/>
  <c r="O11" i="11"/>
  <c r="O12" i="11" a="1"/>
  <c r="O12" i="11"/>
  <c r="O13" i="11" a="1"/>
  <c r="O13" i="11"/>
  <c r="O14" i="11" a="1"/>
  <c r="O14" i="11"/>
  <c r="O15" i="11" a="1"/>
  <c r="O15" i="11"/>
  <c r="O16" i="11" a="1"/>
  <c r="O16" i="11"/>
  <c r="O17" i="11" a="1"/>
  <c r="O17" i="11"/>
  <c r="O18" i="11" a="1"/>
  <c r="O18" i="11"/>
  <c r="O19" i="11" a="1"/>
  <c r="O19" i="11"/>
  <c r="O20" i="11" a="1"/>
  <c r="O20" i="11"/>
  <c r="O21" i="11" a="1"/>
  <c r="O21" i="11"/>
  <c r="O22" i="11" a="1"/>
  <c r="O22" i="11"/>
  <c r="O23" i="11" a="1"/>
  <c r="O23" i="11"/>
  <c r="O24" i="11" a="1"/>
  <c r="O24" i="11"/>
  <c r="O25" i="11" a="1"/>
  <c r="O25" i="11"/>
  <c r="O26" i="11" a="1"/>
  <c r="O26" i="11"/>
  <c r="O27" i="11" a="1"/>
  <c r="O27" i="11"/>
  <c r="O28" i="11" a="1"/>
  <c r="O28" i="11"/>
  <c r="O29" i="11" a="1"/>
  <c r="O29" i="11" s="1"/>
  <c r="O30" i="11" a="1"/>
  <c r="O30" i="11"/>
  <c r="O31" i="11" a="1"/>
  <c r="O31" i="11"/>
  <c r="O32" i="11" a="1"/>
  <c r="O32" i="11"/>
  <c r="O33" i="11" a="1"/>
  <c r="O33" i="11"/>
  <c r="O34" i="11" a="1"/>
  <c r="O34" i="11"/>
  <c r="O35" i="11" a="1"/>
  <c r="O35" i="11"/>
  <c r="O36" i="11" a="1"/>
  <c r="O36" i="11"/>
  <c r="O37" i="11" a="1"/>
  <c r="O37" i="11"/>
  <c r="O38" i="11" a="1"/>
  <c r="O38" i="11"/>
  <c r="O39" i="11" a="1"/>
  <c r="O39" i="11"/>
  <c r="O40" i="11" a="1"/>
  <c r="O40" i="11"/>
  <c r="O41" i="11" a="1"/>
  <c r="O41" i="11"/>
  <c r="O42" i="11" a="1"/>
  <c r="O42" i="11"/>
  <c r="O43" i="11" a="1"/>
  <c r="O43" i="11"/>
  <c r="O44" i="11" a="1"/>
  <c r="O44" i="11"/>
  <c r="O45" i="11" a="1"/>
  <c r="O45" i="11"/>
  <c r="O46" i="11" a="1"/>
  <c r="O46" i="11"/>
  <c r="O47" i="11" a="1"/>
  <c r="O47" i="11"/>
  <c r="O48" i="11" a="1"/>
  <c r="O48" i="11"/>
  <c r="O49" i="11" a="1"/>
  <c r="O49" i="11"/>
  <c r="O50" i="11" a="1"/>
  <c r="O50" i="11"/>
  <c r="O51" i="11" a="1"/>
  <c r="O51" i="11"/>
  <c r="O2" i="11" a="1"/>
  <c r="O2" i="11"/>
  <c r="O2" i="1" a="1"/>
  <c r="O2" i="1" s="1"/>
  <c r="O3" i="1" a="1"/>
  <c r="O3" i="1" s="1"/>
  <c r="O4" i="1" a="1"/>
  <c r="O4" i="1" s="1"/>
  <c r="O5" i="1" a="1"/>
  <c r="O5" i="1"/>
  <c r="O6" i="1" a="1"/>
  <c r="O6" i="1"/>
  <c r="O7" i="1" a="1"/>
  <c r="O7" i="1" s="1"/>
  <c r="O8" i="1" a="1"/>
  <c r="O8" i="1" s="1"/>
  <c r="O9" i="1" a="1"/>
  <c r="O9" i="1"/>
  <c r="O10" i="1" a="1"/>
  <c r="O10" i="1"/>
  <c r="O11" i="1" a="1"/>
  <c r="O11" i="1" s="1"/>
  <c r="O12" i="1" a="1"/>
  <c r="O12" i="1" s="1"/>
  <c r="O13" i="1" a="1"/>
  <c r="O13" i="1"/>
  <c r="O14" i="1" a="1"/>
  <c r="O14" i="1"/>
  <c r="O15" i="1" a="1"/>
  <c r="O15" i="1" s="1"/>
  <c r="O16" i="1" a="1"/>
  <c r="O16" i="1" s="1"/>
  <c r="O17" i="1" a="1"/>
  <c r="O17" i="1"/>
  <c r="O18" i="1" a="1"/>
  <c r="O18" i="1"/>
  <c r="O19" i="1" a="1"/>
  <c r="O19" i="1" s="1"/>
  <c r="O20" i="1" a="1"/>
  <c r="O20" i="1" s="1"/>
  <c r="O21" i="1" a="1"/>
  <c r="O21" i="1"/>
  <c r="O22" i="1" a="1"/>
  <c r="O22" i="1"/>
  <c r="O23" i="1" a="1"/>
  <c r="O23" i="1" s="1"/>
  <c r="O24" i="1" a="1"/>
  <c r="O24" i="1" s="1"/>
  <c r="O25" i="1" a="1"/>
  <c r="O25" i="1"/>
  <c r="O26" i="1" a="1"/>
  <c r="O26" i="1"/>
  <c r="O27" i="1" a="1"/>
  <c r="O27" i="1" s="1"/>
  <c r="O28" i="1" a="1"/>
  <c r="O28" i="1" s="1"/>
  <c r="O29" i="1" a="1"/>
  <c r="O29" i="1"/>
  <c r="O30" i="1" a="1"/>
  <c r="O30" i="1"/>
  <c r="O31" i="1" a="1"/>
  <c r="O31" i="1" s="1"/>
  <c r="O32" i="1" a="1"/>
  <c r="O32" i="1" s="1"/>
  <c r="O33" i="1" a="1"/>
  <c r="O33" i="1"/>
  <c r="O34" i="1" a="1"/>
  <c r="O34" i="1"/>
  <c r="O35" i="1" a="1"/>
  <c r="O35" i="1" s="1"/>
  <c r="O36" i="1" a="1"/>
  <c r="O36" i="1" s="1"/>
  <c r="O37" i="1" a="1"/>
  <c r="O37" i="1"/>
  <c r="O38" i="1" a="1"/>
  <c r="O38" i="1"/>
  <c r="O39" i="1" a="1"/>
  <c r="O39" i="1" s="1"/>
  <c r="O40" i="1" a="1"/>
  <c r="O40" i="1" s="1"/>
  <c r="O41" i="1" a="1"/>
  <c r="O41" i="1"/>
  <c r="O42" i="1" a="1"/>
  <c r="O42" i="1"/>
  <c r="O43" i="1" a="1"/>
  <c r="O43" i="1" s="1"/>
  <c r="O44" i="1" a="1"/>
  <c r="O44" i="1" s="1"/>
  <c r="O45" i="1" a="1"/>
  <c r="O45" i="1"/>
  <c r="O46" i="1" a="1"/>
  <c r="O46" i="1"/>
  <c r="O47" i="1" a="1"/>
  <c r="O47" i="1" s="1"/>
  <c r="O48" i="1" a="1"/>
  <c r="O48" i="1" s="1"/>
  <c r="O49" i="1" a="1"/>
  <c r="O49" i="1" s="1"/>
  <c r="O50" i="1" a="1"/>
  <c r="O50" i="1" s="1"/>
  <c r="O51" i="1" a="1"/>
  <c r="O5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558101-C02F-4555-8A29-579DBA4DC1DD}" keepAlive="1" name="Query - WomensHealth" description="Connection to the 'WomensHealth' query in the workbook." type="5" refreshedVersion="8" background="1" saveData="1">
    <dbPr connection="Provider=Microsoft.Mashup.OleDb.1;Data Source=$Workbook$;Location=WomensHealth;Extended Properties=&quot;&quot;" command="SELECT * FROM [WomensHealth]"/>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<sst xmlns="http://schemas.openxmlformats.org/spreadsheetml/2006/main" count="1254" uniqueCount="96">
  <si>
    <t>Patient Initials</t>
  </si>
  <si>
    <t>Date of Birth</t>
  </si>
  <si>
    <t>Age</t>
  </si>
  <si>
    <t>Visit Type</t>
  </si>
  <si>
    <t>Consent Completed</t>
  </si>
  <si>
    <t>History Completed</t>
  </si>
  <si>
    <t>Physical Completed</t>
  </si>
  <si>
    <t>Labs Completed</t>
  </si>
  <si>
    <t>Diagnostic Test Completed</t>
  </si>
  <si>
    <t>Education Provided</t>
  </si>
  <si>
    <t>Treatment Plan Completed</t>
  </si>
  <si>
    <t>Follow Up Appointments Provided</t>
  </si>
  <si>
    <t>History of Violence</t>
  </si>
  <si>
    <t>L.X.</t>
  </si>
  <si>
    <t>J.J.</t>
  </si>
  <si>
    <t>M.G.</t>
  </si>
  <si>
    <t>T.N.</t>
  </si>
  <si>
    <t>A.S.</t>
  </si>
  <si>
    <t>L.P.</t>
  </si>
  <si>
    <t>G.X.</t>
  </si>
  <si>
    <t>B.V.</t>
  </si>
  <si>
    <t>Q.K.</t>
  </si>
  <si>
    <t>E.O.</t>
  </si>
  <si>
    <t>Q.J.</t>
  </si>
  <si>
    <t>T.R.</t>
  </si>
  <si>
    <t>H.P.</t>
  </si>
  <si>
    <t>Z.W.</t>
  </si>
  <si>
    <t>M.Z.</t>
  </si>
  <si>
    <t>B.M.</t>
  </si>
  <si>
    <t>U.A.</t>
  </si>
  <si>
    <t>Q.U.</t>
  </si>
  <si>
    <t>A.T.</t>
  </si>
  <si>
    <t>N.T.</t>
  </si>
  <si>
    <t>A.N.</t>
  </si>
  <si>
    <t>G.C.</t>
  </si>
  <si>
    <t>P.X.</t>
  </si>
  <si>
    <t>B.F.</t>
  </si>
  <si>
    <t>F.L.</t>
  </si>
  <si>
    <t>M.P.</t>
  </si>
  <si>
    <t>L.B.</t>
  </si>
  <si>
    <t>U.W.</t>
  </si>
  <si>
    <t>K.F.</t>
  </si>
  <si>
    <t>D.G.</t>
  </si>
  <si>
    <t>R.X.</t>
  </si>
  <si>
    <t>U.E.</t>
  </si>
  <si>
    <t>G.A.</t>
  </si>
  <si>
    <t>Z.L.</t>
  </si>
  <si>
    <t>P.Z.</t>
  </si>
  <si>
    <t>F.K.</t>
  </si>
  <si>
    <t>G.G.</t>
  </si>
  <si>
    <t>R.F.</t>
  </si>
  <si>
    <t>I.N.</t>
  </si>
  <si>
    <t>L.E.</t>
  </si>
  <si>
    <t>B.C.</t>
  </si>
  <si>
    <t>P.G.</t>
  </si>
  <si>
    <t>D.T.</t>
  </si>
  <si>
    <t>F.I.</t>
  </si>
  <si>
    <t>B.E.</t>
  </si>
  <si>
    <t>X.V.</t>
  </si>
  <si>
    <t xml:space="preserve">Yes  </t>
  </si>
  <si>
    <t xml:space="preserve">No  </t>
  </si>
  <si>
    <t>Yes</t>
  </si>
  <si>
    <t>No</t>
  </si>
  <si>
    <t>Annual Wellness Exam</t>
  </si>
  <si>
    <t>Gynecologic Concern</t>
  </si>
  <si>
    <t>Prenatal Visit</t>
  </si>
  <si>
    <t>Family Planning</t>
  </si>
  <si>
    <t>STI Screening</t>
  </si>
  <si>
    <t>Row Labels</t>
  </si>
  <si>
    <t>Grand Total</t>
  </si>
  <si>
    <t>Count of Patient Initials</t>
  </si>
  <si>
    <t>Count of Consent Completed</t>
  </si>
  <si>
    <t>Count of History Completed</t>
  </si>
  <si>
    <t>Count of Physical Completed</t>
  </si>
  <si>
    <t>Count of Labs Completed</t>
  </si>
  <si>
    <t>Count of Diagnostic Test Completed</t>
  </si>
  <si>
    <t>Count of Education Provided</t>
  </si>
  <si>
    <t>Count of Treatment Plan Completed</t>
  </si>
  <si>
    <t>Count of Follow Up Appointments Provided</t>
  </si>
  <si>
    <t>Column Labels</t>
  </si>
  <si>
    <t>Age Group</t>
  </si>
  <si>
    <t>&lt;25</t>
  </si>
  <si>
    <t>25–34</t>
  </si>
  <si>
    <t>35–44</t>
  </si>
  <si>
    <t>45–54</t>
  </si>
  <si>
    <t>55+</t>
  </si>
  <si>
    <t>Service Score</t>
  </si>
  <si>
    <t>Average of Service Score</t>
  </si>
  <si>
    <t>Physicals</t>
  </si>
  <si>
    <t>History Forms</t>
  </si>
  <si>
    <t>Labs</t>
  </si>
  <si>
    <t>Diagnostic Tests</t>
  </si>
  <si>
    <t>Follow Up Appointments</t>
  </si>
  <si>
    <t>Consent Forms</t>
  </si>
  <si>
    <t>Education</t>
  </si>
  <si>
    <t>Treatment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</si>
</sst>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1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22" fontId="0" fillId="0" borderId="0" xfId="0" applyNumberFormat="1"/>
    <xf numFmtId="2"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m/d/yyyy"/>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Women's Health Data.xlsx]Complet. Serv. (Labs Completed)!PivotTable3</c:name>
    <c:fmtId val="7"/>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sz="1600">
                <a:solidFill>
                  <a:sysClr val="windowText" lastClr="000000"/>
                </a:solidFill>
              </a:rPr>
              <a:t>Breakdown of Completed Services by Visit Type (Labs Completed)</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'Complet. Serv. (Labs Completed)'!$B$3</c:f>
              <c:strCache>
                <c:ptCount val="1"/>
                <c:pt idx="0">
                  <c:v>Physicals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'Complet. Serv. (Labs Completed)'!$A$4:$A$9</c:f>
              <c:strCache>
                <c:ptCount val="5"/>
                <c:pt idx="0">
                  <c:v>Annual Wellness Exam</c:v>
                </c:pt>
                <c:pt idx="1">
                  <c:v>Family Planning</c:v>
                </c:pt>
                <c:pt idx="2">
                  <c:v>Gynecologic Concern</c:v>
                </c:pt>
                <c:pt idx="3">
                  <c:v>Prenatal Visit</c:v>
                </c:pt>
                <c:pt idx="4">
                  <c:v>STI Screening</c:v>
                </c:pt>
              </c:strCache>
            </c:strRef>
          </c:cat>
          <c:val>
            <c:numRef>
              <c:f>'Complet. Serv. (Labs Completed)'!$B$4:$B$9</c:f>
              <c:numCache>
                <c:formatCode>General</c:formatCode>
                <c:ptCount val="5"/>
                <c:pt idx="0">
                  <c:v>8</c:v>
                </c:pt>
                <c:pt idx="1">
                  <c:v>3</c:v>
                </c:pt>
                <c:pt idx="2">
                  <c:v>6</c:v>
                </c:pt>
                <c:pt idx="3">
                  <c:v>5</c:v>
                </c:pt>
                <c:pt idx="4">
                  <c:v>4</c:v>
                </c:pt>
              </c:numCache>
            </c:numRef>
          </c:val>
          <c:extLst>
            <c:ext xmlns:c16="http://schemas.microsoft.com/office/drawing/2014/chart" uri="{C3380CC4-5D6E-409C-BE32-E72D297353CC}">
              <c16:uniqueId val="{00000000-589D-4487-AE23-30715AD47F09}"/>
            </c:ext>
          </c:extLst>
        </c:ser>
        <c:ser>
          <c:idx val="1"/>
          <c:order val="1"/>
          <c:tx>
            <c:strRef>
              <c:f>'Complet. Serv. (Labs Completed)'!$C$3</c:f>
              <c:strCache>
                <c:ptCount val="1"/>
                <c:pt idx="0">
                  <c:v>History Forms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'Complet. Serv. (Labs Completed)'!$A$4:$A$9</c:f>
              <c:strCache>
                <c:ptCount val="5"/>
                <c:pt idx="0">
                  <c:v>Annual Wellness Exam</c:v>
                </c:pt>
                <c:pt idx="1">
                  <c:v>Family Planning</c:v>
                </c:pt>
                <c:pt idx="2">
                  <c:v>Gynecologic Concern</c:v>
                </c:pt>
                <c:pt idx="3">
                  <c:v>Prenatal Visit</c:v>
                </c:pt>
                <c:pt idx="4">
                  <c:v>STI Screening</c:v>
                </c:pt>
              </c:strCache>
            </c:strRef>
          </c:cat>
          <c:val>
            <c:numRef>
              <c:f>'Complet. Serv. (Labs Completed)'!$C$4:$C$9</c:f>
              <c:numCache>
                <c:formatCode>General</c:formatCode>
                <c:ptCount val="5"/>
                <c:pt idx="0">
                  <c:v>8</c:v>
                </c:pt>
                <c:pt idx="1">
                  <c:v>3</c:v>
                </c:pt>
                <c:pt idx="2">
                  <c:v>6</c:v>
                </c:pt>
                <c:pt idx="3">
                  <c:v>5</c:v>
                </c:pt>
                <c:pt idx="4">
                  <c:v>4</c:v>
                </c:pt>
              </c:numCache>
            </c:numRef>
          </c:val>
          <c:extLst>
            <c:ext xmlns:c16="http://schemas.microsoft.com/office/drawing/2014/chart" uri="{C3380CC4-5D6E-409C-BE32-E72D297353CC}">
              <c16:uniqueId val="{00000001-589D-4487-AE23-30715AD47F09}"/>
            </c:ext>
          </c:extLst>
        </c:ser>
        <c:ser>
          <c:idx val="2"/>
          <c:order val="2"/>
          <c:tx>
            <c:strRef>
              <c:f>'Complet. Serv. (Labs Completed)'!$D$3</c:f>
              <c:strCache>
                <c:ptCount val="1"/>
                <c:pt idx="0">
                  <c:v>Labs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'Complet. Serv. (Labs Completed)'!$A$4:$A$9</c:f>
              <c:strCache>
                <c:ptCount val="5"/>
                <c:pt idx="0">
                  <c:v>Annual Wellness Exam</c:v>
                </c:pt>
                <c:pt idx="1">
                  <c:v>Family Planning</c:v>
                </c:pt>
                <c:pt idx="2">
                  <c:v>Gynecologic Concern</c:v>
                </c:pt>
                <c:pt idx="3">
                  <c:v>Prenatal Visit</c:v>
                </c:pt>
                <c:pt idx="4">
                  <c:v>STI Screening</c:v>
                </c:pt>
              </c:strCache>
            </c:strRef>
          </c:cat>
          <c:val>
            <c:numRef>
              <c:f>'Complet. Serv. (Labs Completed)'!$D$4:$D$9</c:f>
              <c:numCache>
                <c:formatCode>General</c:formatCode>
                <c:ptCount val="5"/>
                <c:pt idx="0">
                  <c:v>8</c:v>
                </c:pt>
                <c:pt idx="1">
                  <c:v>3</c:v>
                </c:pt>
                <c:pt idx="2">
                  <c:v>6</c:v>
                </c:pt>
                <c:pt idx="3">
                  <c:v>5</c:v>
                </c:pt>
                <c:pt idx="4">
                  <c:v>4</c:v>
                </c:pt>
              </c:numCache>
            </c:numRef>
          </c:val>
          <c:extLst>
            <c:ext xmlns:c16="http://schemas.microsoft.com/office/drawing/2014/chart" uri="{C3380CC4-5D6E-409C-BE32-E72D297353CC}">
              <c16:uniqueId val="{00000002-589D-4487-AE23-30715AD47F09}"/>
            </c:ext>
          </c:extLst>
        </c:ser>
        <c:ser>
          <c:idx val="3"/>
          <c:order val="3"/>
          <c:tx>
            <c:strRef>
              <c:f>'Complet. Serv. (Labs Completed)'!$E$3</c:f>
              <c:strCache>
                <c:ptCount val="1"/>
                <c:pt idx="0">
                  <c:v>Diagnostic Tests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'Complet. Serv. (Labs Completed)'!$A$4:$A$9</c:f>
              <c:strCache>
                <c:ptCount val="5"/>
                <c:pt idx="0">
                  <c:v>Annual Wellness Exam</c:v>
                </c:pt>
                <c:pt idx="1">
                  <c:v>Family Planning</c:v>
                </c:pt>
                <c:pt idx="2">
                  <c:v>Gynecologic Concern</c:v>
                </c:pt>
                <c:pt idx="3">
                  <c:v>Prenatal Visit</c:v>
                </c:pt>
                <c:pt idx="4">
                  <c:v>STI Screening</c:v>
                </c:pt>
              </c:strCache>
            </c:strRef>
          </c:cat>
          <c:val>
            <c:numRef>
              <c:f>'Complet. Serv. (Labs Completed)'!$E$4:$E$9</c:f>
              <c:numCache>
                <c:formatCode>General</c:formatCode>
                <c:ptCount val="5"/>
                <c:pt idx="0">
                  <c:v>8</c:v>
                </c:pt>
                <c:pt idx="1">
                  <c:v>3</c:v>
                </c:pt>
                <c:pt idx="2">
                  <c:v>6</c:v>
                </c:pt>
                <c:pt idx="3">
                  <c:v>5</c:v>
                </c:pt>
                <c:pt idx="4">
                  <c:v>4</c:v>
                </c:pt>
              </c:numCache>
            </c:numRef>
          </c:val>
          <c:extLst>
            <c:ext xmlns:c16="http://schemas.microsoft.com/office/drawing/2014/chart" uri="{C3380CC4-5D6E-409C-BE32-E72D297353CC}">
              <c16:uniqueId val="{00000003-589D-4487-AE23-30715AD47F09}"/>
            </c:ext>
          </c:extLst>
        </c:ser>
        <c:ser>
          <c:idx val="4"/>
          <c:order val="4"/>
          <c:tx>
            <c:strRef>
              <c:f>'Complet. Serv. (Labs Completed)'!$F$3</c:f>
              <c:strCache>
                <c:ptCount val="1"/>
                <c:pt idx="0">
                  <c:v>Follow Up Appointments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'Complet. Serv. (Labs Completed)'!$A$4:$A$9</c:f>
              <c:strCache>
                <c:ptCount val="5"/>
                <c:pt idx="0">
                  <c:v>Annual Wellness Exam</c:v>
                </c:pt>
                <c:pt idx="1">
                  <c:v>Family Planning</c:v>
                </c:pt>
                <c:pt idx="2">
                  <c:v>Gynecologic Concern</c:v>
                </c:pt>
                <c:pt idx="3">
                  <c:v>Prenatal Visit</c:v>
                </c:pt>
                <c:pt idx="4">
                  <c:v>STI Screening</c:v>
                </c:pt>
              </c:strCache>
            </c:strRef>
          </c:cat>
          <c:val>
            <c:numRef>
              <c:f>'Complet. Serv. (Labs Completed)'!$F$4:$F$9</c:f>
              <c:numCache>
                <c:formatCode>General</c:formatCode>
                <c:ptCount val="5"/>
                <c:pt idx="0">
                  <c:v>8</c:v>
                </c:pt>
                <c:pt idx="1">
                  <c:v>3</c:v>
                </c:pt>
                <c:pt idx="2">
                  <c:v>6</c:v>
                </c:pt>
                <c:pt idx="3">
                  <c:v>5</c:v>
                </c:pt>
                <c:pt idx="4">
                  <c:v>4</c:v>
                </c:pt>
              </c:numCache>
            </c:numRef>
          </c:val>
          <c:extLst>
            <c:ext xmlns:c16="http://schemas.microsoft.com/office/drawing/2014/chart" uri="{C3380CC4-5D6E-409C-BE32-E72D297353CC}">
              <c16:uniqueId val="{00000004-589D-4487-AE23-30715AD47F09}"/>
            </c:ext>
          </c:extLst>
        </c:ser>
        <c:ser>
          <c:idx val="5"/>
          <c:order val="5"/>
          <c:tx>
            <c:strRef>
              <c:f>'Complet. Serv. (Labs Completed)'!$G$3</c:f>
              <c:strCache>
                <c:ptCount val="1"/>
                <c:pt idx="0">
                  <c:v>Consent Forms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'Complet. Serv. (Labs Completed)'!$A$4:$A$9</c:f>
              <c:strCache>
                <c:ptCount val="5"/>
                <c:pt idx="0">
                  <c:v>Annual Wellness Exam</c:v>
                </c:pt>
                <c:pt idx="1">
                  <c:v>Family Planning</c:v>
                </c:pt>
                <c:pt idx="2">
                  <c:v>Gynecologic Concern</c:v>
                </c:pt>
                <c:pt idx="3">
                  <c:v>Prenatal Visit</c:v>
                </c:pt>
                <c:pt idx="4">
                  <c:v>STI Screening</c:v>
                </c:pt>
              </c:strCache>
            </c:strRef>
          </c:cat>
          <c:val>
            <c:numRef>
              <c:f>'Complet. Serv. (Labs Completed)'!$G$4:$G$9</c:f>
              <c:numCache>
                <c:formatCode>General</c:formatCode>
                <c:ptCount val="5"/>
                <c:pt idx="0">
                  <c:v>8</c:v>
                </c:pt>
                <c:pt idx="1">
                  <c:v>3</c:v>
                </c:pt>
                <c:pt idx="2">
                  <c:v>6</c:v>
                </c:pt>
                <c:pt idx="3">
                  <c:v>5</c:v>
                </c:pt>
                <c:pt idx="4">
                  <c:v>4</c:v>
                </c:pt>
              </c:numCache>
            </c:numRef>
          </c:val>
          <c:extLst>
            <c:ext xmlns:c16="http://schemas.microsoft.com/office/drawing/2014/chart" uri="{C3380CC4-5D6E-409C-BE32-E72D297353CC}">
              <c16:uniqueId val="{00000005-589D-4487-AE23-30715AD47F09}"/>
            </c:ext>
          </c:extLst>
        </c:ser>
        <c:ser>
          <c:idx val="6"/>
          <c:order val="6"/>
          <c:tx>
            <c:strRef>
              <c:f>'Complet. Serv. (Labs Completed)'!$H$3</c:f>
              <c:strCache>
                <c:ptCount val="1"/>
                <c:pt idx="0">
                  <c:v>Education</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cat>
            <c:strRef>
              <c:f>'Complet. Serv. (Labs Completed)'!$A$4:$A$9</c:f>
              <c:strCache>
                <c:ptCount val="5"/>
                <c:pt idx="0">
                  <c:v>Annual Wellness Exam</c:v>
                </c:pt>
                <c:pt idx="1">
                  <c:v>Family Planning</c:v>
                </c:pt>
                <c:pt idx="2">
                  <c:v>Gynecologic Concern</c:v>
                </c:pt>
                <c:pt idx="3">
                  <c:v>Prenatal Visit</c:v>
                </c:pt>
                <c:pt idx="4">
                  <c:v>STI Screening</c:v>
                </c:pt>
              </c:strCache>
            </c:strRef>
          </c:cat>
          <c:val>
            <c:numRef>
              <c:f>'Complet. Serv. (Labs Completed)'!$H$4:$H$9</c:f>
              <c:numCache>
                <c:formatCode>General</c:formatCode>
                <c:ptCount val="5"/>
                <c:pt idx="0">
                  <c:v>8</c:v>
                </c:pt>
                <c:pt idx="1">
                  <c:v>3</c:v>
                </c:pt>
                <c:pt idx="2">
                  <c:v>6</c:v>
                </c:pt>
                <c:pt idx="3">
                  <c:v>5</c:v>
                </c:pt>
                <c:pt idx="4">
                  <c:v>4</c:v>
                </c:pt>
              </c:numCache>
            </c:numRef>
          </c:val>
          <c:extLst>
            <c:ext xmlns:c16="http://schemas.microsoft.com/office/drawing/2014/chart" uri="{C3380CC4-5D6E-409C-BE32-E72D297353CC}">
              <c16:uniqueId val="{00000006-589D-4487-AE23-30715AD47F09}"/>
            </c:ext>
          </c:extLst>
        </c:ser>
        <c:ser>
          <c:idx val="7"/>
          <c:order val="7"/>
          <c:tx>
            <c:strRef>
              <c:f>'Complet. Serv. (Labs Completed)'!$I$3</c:f>
              <c:strCache>
                <c:ptCount val="1"/>
                <c:pt idx="0">
                  <c:v>Treatment Plan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cat>
            <c:strRef>
              <c:f>'Complet. Serv. (Labs Completed)'!$A$4:$A$9</c:f>
              <c:strCache>
                <c:ptCount val="5"/>
                <c:pt idx="0">
                  <c:v>Annual Wellness Exam</c:v>
                </c:pt>
                <c:pt idx="1">
                  <c:v>Family Planning</c:v>
                </c:pt>
                <c:pt idx="2">
                  <c:v>Gynecologic Concern</c:v>
                </c:pt>
                <c:pt idx="3">
                  <c:v>Prenatal Visit</c:v>
                </c:pt>
                <c:pt idx="4">
                  <c:v>STI Screening</c:v>
                </c:pt>
              </c:strCache>
            </c:strRef>
          </c:cat>
          <c:val>
            <c:numRef>
              <c:f>'Complet. Serv. (Labs Completed)'!$I$4:$I$9</c:f>
              <c:numCache>
                <c:formatCode>General</c:formatCode>
                <c:ptCount val="5"/>
                <c:pt idx="0">
                  <c:v>8</c:v>
                </c:pt>
                <c:pt idx="1">
                  <c:v>3</c:v>
                </c:pt>
                <c:pt idx="2">
                  <c:v>6</c:v>
                </c:pt>
                <c:pt idx="3">
                  <c:v>5</c:v>
                </c:pt>
                <c:pt idx="4">
                  <c:v>4</c:v>
                </c:pt>
              </c:numCache>
            </c:numRef>
          </c:val>
          <c:extLst>
            <c:ext xmlns:c16="http://schemas.microsoft.com/office/drawing/2014/chart" uri="{C3380CC4-5D6E-409C-BE32-E72D297353CC}">
              <c16:uniqueId val="{00000007-589D-4487-AE23-30715AD47F09}"/>
            </c:ext>
          </c:extLst>
        </c:ser>
        <c:dLbls>
          <c:showLegendKey val="0"/>
          <c:showVal val="0"/>
          <c:showCatName val="0"/>
          <c:showSerName val="0"/>
          <c:showPercent val="0"/>
          <c:showBubbleSize val="0"/>
        </c:dLbls>
        <c:gapWidth val="100"/>
        <c:axId val="991395423"/>
        <c:axId val="991406943"/>
      </c:barChart>
      <c:catAx>
        <c:axId val="991395423"/>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Visit Type</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91406943"/>
        <c:crosses val="autoZero"/>
        <c:auto val="1"/>
        <c:lblAlgn val="ctr"/>
        <c:lblOffset val="100"/>
        <c:noMultiLvlLbl val="0"/>
      </c:catAx>
      <c:valAx>
        <c:axId val="991406943"/>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Number of Patients</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1395423"/>
        <c:crosses val="autoZero"/>
        <c:crossBetween val="between"/>
      </c:valAx>
      <c:spPr>
        <a:noFill/>
        <a:ln>
          <a:noFill/>
        </a:ln>
        <a:effectLst/>
      </c:spPr>
    </c:plotArea>
    <c:legend>
      <c:legendPos val="r"/>
      <c:layout>
        <c:manualLayout>
          <c:xMode val="edge"/>
          <c:yMode val="edge"/>
          <c:x val="0.68196810830788901"/>
          <c:y val="0.271576624860145"/>
          <c:w val="0.30111710823796572"/>
          <c:h val="0.5365772899046248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Women's Health Data.xlsx]Complet. Rate NoComplet. Serv. !PivotTable2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Service Breakdown for Visits Without Lab Completion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49"/>
      </c:pivotFmt>
      <c:pivotFmt>
        <c:idx val="50"/>
      </c:pivotFmt>
      <c:pivotFmt>
        <c:idx val="51"/>
      </c:pivotFmt>
      <c:pivotFmt>
        <c:idx val="52"/>
      </c:pivotFmt>
      <c:pivotFmt>
        <c:idx val="53"/>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pivotFmt>
      <c:pivotFmt>
        <c:idx val="58"/>
      </c:pivotFmt>
      <c:pivotFmt>
        <c:idx val="59"/>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pivotFmt>
      <c:pivotFmt>
        <c:idx val="62"/>
      </c:pivotFmt>
      <c:pivotFmt>
        <c:idx val="63"/>
      </c:pivotFmt>
      <c:pivotFmt>
        <c:idx val="64"/>
      </c:pivotFmt>
      <c:pivotFmt>
        <c:idx val="65"/>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pivotFmt>
      <c:pivotFmt>
        <c:idx val="68"/>
      </c:pivotFmt>
      <c:pivotFmt>
        <c:idx val="69"/>
      </c:pivotFmt>
      <c:pivotFmt>
        <c:idx val="70"/>
      </c:pivotFmt>
      <c:pivotFmt>
        <c:idx val="71"/>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pivotFmt>
      <c:pivotFmt>
        <c:idx val="74"/>
      </c:pivotFmt>
      <c:pivotFmt>
        <c:idx val="75"/>
      </c:pivotFmt>
      <c:pivotFmt>
        <c:idx val="76"/>
      </c:pivotFmt>
      <c:pivotFmt>
        <c:idx val="77"/>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pivotFmt>
      <c:pivotFmt>
        <c:idx val="80"/>
      </c:pivotFmt>
      <c:pivotFmt>
        <c:idx val="81"/>
      </c:pivotFmt>
      <c:pivotFmt>
        <c:idx val="82"/>
      </c:pivotFmt>
      <c:pivotFmt>
        <c:idx val="83"/>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pivotFmt>
      <c:pivotFmt>
        <c:idx val="86"/>
      </c:pivotFmt>
      <c:pivotFmt>
        <c:idx val="87"/>
      </c:pivotFmt>
      <c:pivotFmt>
        <c:idx val="88"/>
      </c:pivotFmt>
      <c:pivotFmt>
        <c:idx val="89"/>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pivotFmt>
      <c:pivotFmt>
        <c:idx val="92"/>
      </c:pivotFmt>
      <c:pivotFmt>
        <c:idx val="93"/>
      </c:pivotFmt>
      <c:pivotFmt>
        <c:idx val="94"/>
      </c:pivotFmt>
      <c:pivotFmt>
        <c:idx val="95"/>
      </c:pivotFmt>
      <c:pivotFmt>
        <c:idx val="9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7"/>
        <c:spPr>
          <a:solidFill>
            <a:schemeClr val="accent1"/>
          </a:solidFill>
          <a:ln>
            <a:noFill/>
          </a:ln>
          <a:effectLst>
            <a:outerShdw blurRad="254000" sx="102000" sy="102000" algn="ctr" rotWithShape="0">
              <a:prstClr val="black">
                <a:alpha val="20000"/>
              </a:prstClr>
            </a:outerShdw>
          </a:effectLst>
        </c:spPr>
        <c:dLbl>
          <c:idx val="0"/>
          <c:layout>
            <c:manualLayout>
              <c:x val="-0.10873558922305029"/>
              <c:y val="0.13520737154264234"/>
            </c:manualLayout>
          </c:layout>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8"/>
        <c:spPr>
          <a:solidFill>
            <a:schemeClr val="accent1"/>
          </a:solidFill>
          <a:ln>
            <a:noFill/>
          </a:ln>
          <a:effectLst>
            <a:outerShdw blurRad="254000" sx="102000" sy="102000" algn="ctr" rotWithShape="0">
              <a:prstClr val="black">
                <a:alpha val="20000"/>
              </a:prstClr>
            </a:outerShdw>
          </a:effectLst>
        </c:spPr>
        <c:dLbl>
          <c:idx val="0"/>
          <c:layout>
            <c:manualLayout>
              <c:x val="-7.0763376381243442E-2"/>
              <c:y val="-0.1801633313969194"/>
            </c:manualLayout>
          </c:layout>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9"/>
        <c:spPr>
          <a:solidFill>
            <a:schemeClr val="accent1"/>
          </a:solidFill>
          <a:ln>
            <a:noFill/>
          </a:ln>
          <a:effectLst>
            <a:outerShdw blurRad="254000" sx="102000" sy="102000" algn="ctr" rotWithShape="0">
              <a:prstClr val="black">
                <a:alpha val="20000"/>
              </a:prstClr>
            </a:outerShdw>
          </a:effectLst>
        </c:spPr>
        <c:dLbl>
          <c:idx val="0"/>
          <c:layout>
            <c:manualLayout>
              <c:x val="8.2116702567246652E-2"/>
              <c:y val="-0.11805470741561658"/>
            </c:manualLayout>
          </c:layout>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5.374092786333081E-2"/>
                  <c:h val="7.2855899283809991E-2"/>
                </c:manualLayout>
              </c15:layout>
            </c:ext>
          </c:extLst>
        </c:dLbl>
      </c:pivotFmt>
      <c:pivotFmt>
        <c:idx val="100"/>
        <c:spPr>
          <a:solidFill>
            <a:schemeClr val="accent1"/>
          </a:solidFill>
          <a:ln>
            <a:noFill/>
          </a:ln>
          <a:effectLst>
            <a:outerShdw blurRad="254000" sx="102000" sy="102000" algn="ctr" rotWithShape="0">
              <a:prstClr val="black">
                <a:alpha val="20000"/>
              </a:prstClr>
            </a:outerShdw>
          </a:effectLst>
        </c:spPr>
        <c:dLbl>
          <c:idx val="0"/>
          <c:layout>
            <c:manualLayout>
              <c:x val="0.12551476623094182"/>
              <c:y val="2.7866662843399323E-2"/>
            </c:manualLayout>
          </c:layout>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1"/>
        <c:spPr>
          <a:solidFill>
            <a:schemeClr val="accent1"/>
          </a:solidFill>
          <a:ln>
            <a:noFill/>
          </a:ln>
          <a:effectLst>
            <a:outerShdw blurRad="254000" sx="102000" sy="102000" algn="ctr" rotWithShape="0">
              <a:prstClr val="black">
                <a:alpha val="20000"/>
              </a:prstClr>
            </a:outerShdw>
          </a:effectLst>
        </c:spPr>
        <c:dLbl>
          <c:idx val="0"/>
          <c:layout>
            <c:manualLayout>
              <c:x val="7.0761409226175839E-2"/>
              <c:y val="0.16810127693589194"/>
            </c:manualLayout>
          </c:layout>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pivotFmt>
      <c:pivotFmt>
        <c:idx val="12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pivotFmt>
      <c:pivotFmt>
        <c:idx val="13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pivotFmt>
      <c:pivotFmt>
        <c:idx val="13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'Complet. Rate NoComplet. Serv. '!$B$3</c:f>
              <c:strCache>
                <c:ptCount val="1"/>
                <c:pt idx="0">
                  <c:v>Count of Diagnostic Test Completed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2F0-42F3-9975-B5463F404A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2F0-42F3-9975-B5463F404A7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2F0-42F3-9975-B5463F404A7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2F0-42F3-9975-B5463F404A7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2F0-42F3-9975-B5463F404A79}"/>
              </c:ext>
            </c:extLst>
          </c:dPt>
          <c:dLbls>
            <c:dLbl>
              <c:idx val="0"/>
              <c:layout>
                <c:manualLayout>
                  <c:x val="-0.10873558922305029"/>
                  <c:y val="0.1352073715426423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F0-42F3-9975-B5463F404A79}"/>
                </c:ext>
              </c:extLst>
            </c:dLbl>
            <c:dLbl>
              <c:idx val="1"/>
              <c:layout>
                <c:manualLayout>
                  <c:x val="-7.0763376381243442E-2"/>
                  <c:y val="-0.180163331396919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F0-42F3-9975-B5463F404A79}"/>
                </c:ext>
              </c:extLst>
            </c:dLbl>
            <c:dLbl>
              <c:idx val="2"/>
              <c:layout>
                <c:manualLayout>
                  <c:x val="8.2116702567246652E-2"/>
                  <c:y val="-0.11805470741561658"/>
                </c:manualLayout>
              </c:layout>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5.374092786333081E-2"/>
                      <c:h val="7.2855899283809991E-2"/>
                    </c:manualLayout>
                  </c15:layout>
                </c:ext>
                <c:ext xmlns:c16="http://schemas.microsoft.com/office/drawing/2014/chart" uri="{C3380CC4-5D6E-409C-BE32-E72D297353CC}">
                  <c16:uniqueId val="{00000005-A2F0-42F3-9975-B5463F404A79}"/>
                </c:ext>
              </c:extLst>
            </c:dLbl>
            <c:dLbl>
              <c:idx val="3"/>
              <c:layout>
                <c:manualLayout>
                  <c:x val="0.12551476623094182"/>
                  <c:y val="2.786666284339932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2F0-42F3-9975-B5463F404A79}"/>
                </c:ext>
              </c:extLst>
            </c:dLbl>
            <c:dLbl>
              <c:idx val="4"/>
              <c:layout>
                <c:manualLayout>
                  <c:x val="7.0761409226175839E-2"/>
                  <c:y val="0.1681012769358919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2F0-42F3-9975-B5463F404A79}"/>
                </c:ext>
              </c:extLst>
            </c:dLbl>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'Complet. Rate NoComplet. Serv. '!$A$4:$A$9</c:f>
              <c:strCache>
                <c:ptCount val="5"/>
                <c:pt idx="0">
                  <c:v>Annual Wellness Exam</c:v>
                </c:pt>
                <c:pt idx="1">
                  <c:v>Family Planning</c:v>
                </c:pt>
                <c:pt idx="2">
                  <c:v>Gynecologic Concern</c:v>
                </c:pt>
                <c:pt idx="3">
                  <c:v>Prenatal Visit</c:v>
                </c:pt>
                <c:pt idx="4">
                  <c:v>STI Screening</c:v>
                </c:pt>
              </c:strCache>
            </c:strRef>
          </c:cat>
          <c:val>
            <c:numRef>
              <c:f>'Complet. Rate NoComplet. Serv. '!$B$4:$B$9</c:f>
              <c:numCache>
                <c:formatCode>General</c:formatCode>
                <c:ptCount val="5"/>
                <c:pt idx="0">
                  <c:v>7</c:v>
                </c:pt>
                <c:pt idx="1">
                  <c:v>7</c:v>
                </c:pt>
                <c:pt idx="2">
                  <c:v>2</c:v>
                </c:pt>
                <c:pt idx="3">
                  <c:v>5</c:v>
                </c:pt>
                <c:pt idx="4">
                  <c:v>3</c:v>
                </c:pt>
              </c:numCache>
            </c:numRef>
          </c:val>
          <c:extLst>
            <c:ext xmlns:c16="http://schemas.microsoft.com/office/drawing/2014/chart" uri="{C3380CC4-5D6E-409C-BE32-E72D297353CC}">
              <c16:uniqueId val="{0000000A-A2F0-42F3-9975-B5463F404A79}"/>
            </c:ext>
          </c:extLst>
        </c:ser>
        <c:ser>
          <c:idx val="1"/>
          <c:order val="1"/>
          <c:tx>
            <c:strRef>
              <c:f>'Complet. Rate NoComplet. Serv. '!$C$3</c:f>
              <c:strCache>
                <c:ptCount val="1"/>
                <c:pt idx="0">
                  <c:v>Count of Follow Up Appointments Provided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A2F0-42F3-9975-B5463F404A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A2F0-42F3-9975-B5463F404A7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A2F0-42F3-9975-B5463F404A7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A2F0-42F3-9975-B5463F404A7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A2F0-42F3-9975-B5463F404A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'Complet. Rate NoComplet. Serv. '!$A$4:$A$9</c:f>
              <c:strCache>
                <c:ptCount val="5"/>
                <c:pt idx="0">
                  <c:v>Annual Wellness Exam</c:v>
                </c:pt>
                <c:pt idx="1">
                  <c:v>Family Planning</c:v>
                </c:pt>
                <c:pt idx="2">
                  <c:v>Gynecologic Concern</c:v>
                </c:pt>
                <c:pt idx="3">
                  <c:v>Prenatal Visit</c:v>
                </c:pt>
                <c:pt idx="4">
                  <c:v>STI Screening</c:v>
                </c:pt>
              </c:strCache>
            </c:strRef>
          </c:cat>
          <c:val>
            <c:numRef>
              <c:f>'Complet. Rate NoComplet. Serv. '!$C$4:$C$9</c:f>
              <c:numCache>
                <c:formatCode>General</c:formatCode>
                <c:ptCount val="5"/>
                <c:pt idx="0">
                  <c:v>7</c:v>
                </c:pt>
                <c:pt idx="1">
                  <c:v>7</c:v>
                </c:pt>
                <c:pt idx="2">
                  <c:v>2</c:v>
                </c:pt>
                <c:pt idx="3">
                  <c:v>5</c:v>
                </c:pt>
                <c:pt idx="4">
                  <c:v>3</c:v>
                </c:pt>
              </c:numCache>
            </c:numRef>
          </c:val>
          <c:extLst>
            <c:ext xmlns:c16="http://schemas.microsoft.com/office/drawing/2014/chart" uri="{C3380CC4-5D6E-409C-BE32-E72D297353CC}">
              <c16:uniqueId val="{00000015-A2F0-42F3-9975-B5463F404A79}"/>
            </c:ext>
          </c:extLst>
        </c:ser>
        <c:ser>
          <c:idx val="2"/>
          <c:order val="2"/>
          <c:tx>
            <c:strRef>
              <c:f>'Complet. Rate NoComplet. Serv. '!$D$3</c:f>
              <c:strCache>
                <c:ptCount val="1"/>
                <c:pt idx="0">
                  <c:v>Count of Treatment Plan Completed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A2F0-42F3-9975-B5463F404A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A2F0-42F3-9975-B5463F404A7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A2F0-42F3-9975-B5463F404A7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A2F0-42F3-9975-B5463F404A7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A2F0-42F3-9975-B5463F404A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'Complet. Rate NoComplet. Serv. '!$A$4:$A$9</c:f>
              <c:strCache>
                <c:ptCount val="5"/>
                <c:pt idx="0">
                  <c:v>Annual Wellness Exam</c:v>
                </c:pt>
                <c:pt idx="1">
                  <c:v>Family Planning</c:v>
                </c:pt>
                <c:pt idx="2">
                  <c:v>Gynecologic Concern</c:v>
                </c:pt>
                <c:pt idx="3">
                  <c:v>Prenatal Visit</c:v>
                </c:pt>
                <c:pt idx="4">
                  <c:v>STI Screening</c:v>
                </c:pt>
              </c:strCache>
            </c:strRef>
          </c:cat>
          <c:val>
            <c:numRef>
              <c:f>'Complet. Rate NoComplet. Serv. '!$D$4:$D$9</c:f>
              <c:numCache>
                <c:formatCode>General</c:formatCode>
                <c:ptCount val="5"/>
                <c:pt idx="0">
                  <c:v>7</c:v>
                </c:pt>
                <c:pt idx="1">
                  <c:v>7</c:v>
                </c:pt>
                <c:pt idx="2">
                  <c:v>2</c:v>
                </c:pt>
                <c:pt idx="3">
                  <c:v>5</c:v>
                </c:pt>
                <c:pt idx="4">
                  <c:v>3</c:v>
                </c:pt>
              </c:numCache>
            </c:numRef>
          </c:val>
          <c:extLst>
            <c:ext xmlns:c16="http://schemas.microsoft.com/office/drawing/2014/chart" uri="{C3380CC4-5D6E-409C-BE32-E72D297353CC}">
              <c16:uniqueId val="{00000020-A2F0-42F3-9975-B5463F404A79}"/>
            </c:ext>
          </c:extLst>
        </c:ser>
        <c:ser>
          <c:idx val="3"/>
          <c:order val="3"/>
          <c:tx>
            <c:strRef>
              <c:f>'Complet. Rate NoComplet. Serv. '!$E$3</c:f>
              <c:strCache>
                <c:ptCount val="1"/>
                <c:pt idx="0">
                  <c:v>Count of Education Provided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2-A2F0-42F3-9975-B5463F404A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4-A2F0-42F3-9975-B5463F404A7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6-A2F0-42F3-9975-B5463F404A7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8-A2F0-42F3-9975-B5463F404A7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A-A2F0-42F3-9975-B5463F404A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'Complet. Rate NoComplet. Serv. '!$A$4:$A$9</c:f>
              <c:strCache>
                <c:ptCount val="5"/>
                <c:pt idx="0">
                  <c:v>Annual Wellness Exam</c:v>
                </c:pt>
                <c:pt idx="1">
                  <c:v>Family Planning</c:v>
                </c:pt>
                <c:pt idx="2">
                  <c:v>Gynecologic Concern</c:v>
                </c:pt>
                <c:pt idx="3">
                  <c:v>Prenatal Visit</c:v>
                </c:pt>
                <c:pt idx="4">
                  <c:v>STI Screening</c:v>
                </c:pt>
              </c:strCache>
            </c:strRef>
          </c:cat>
          <c:val>
            <c:numRef>
              <c:f>'Complet. Rate NoComplet. Serv. '!$E$4:$E$9</c:f>
              <c:numCache>
                <c:formatCode>General</c:formatCode>
                <c:ptCount val="5"/>
                <c:pt idx="0">
                  <c:v>7</c:v>
                </c:pt>
                <c:pt idx="1">
                  <c:v>7</c:v>
                </c:pt>
                <c:pt idx="2">
                  <c:v>2</c:v>
                </c:pt>
                <c:pt idx="3">
                  <c:v>5</c:v>
                </c:pt>
                <c:pt idx="4">
                  <c:v>3</c:v>
                </c:pt>
              </c:numCache>
            </c:numRef>
          </c:val>
          <c:extLst>
            <c:ext xmlns:c16="http://schemas.microsoft.com/office/drawing/2014/chart" uri="{C3380CC4-5D6E-409C-BE32-E72D297353CC}">
              <c16:uniqueId val="{0000002B-A2F0-42F3-9975-B5463F404A79}"/>
            </c:ext>
          </c:extLst>
        </c:ser>
        <c:ser>
          <c:idx val="4"/>
          <c:order val="4"/>
          <c:tx>
            <c:strRef>
              <c:f>'Complet. Rate NoComplet. Serv. '!$F$3</c:f>
              <c:strCache>
                <c:ptCount val="1"/>
                <c:pt idx="0">
                  <c:v>Count of Consent Completed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A2F0-42F3-9975-B5463F404A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A2F0-42F3-9975-B5463F404A7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A2F0-42F3-9975-B5463F404A7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A2F0-42F3-9975-B5463F404A7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A2F0-42F3-9975-B5463F404A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'Complet. Rate NoComplet. Serv. '!$A$4:$A$9</c:f>
              <c:strCache>
                <c:ptCount val="5"/>
                <c:pt idx="0">
                  <c:v>Annual Wellness Exam</c:v>
                </c:pt>
                <c:pt idx="1">
                  <c:v>Family Planning</c:v>
                </c:pt>
                <c:pt idx="2">
                  <c:v>Gynecologic Concern</c:v>
                </c:pt>
                <c:pt idx="3">
                  <c:v>Prenatal Visit</c:v>
                </c:pt>
                <c:pt idx="4">
                  <c:v>STI Screening</c:v>
                </c:pt>
              </c:strCache>
            </c:strRef>
          </c:cat>
          <c:val>
            <c:numRef>
              <c:f>'Complet. Rate NoComplet. Serv. '!$F$4:$F$9</c:f>
              <c:numCache>
                <c:formatCode>General</c:formatCode>
                <c:ptCount val="5"/>
                <c:pt idx="0">
                  <c:v>7</c:v>
                </c:pt>
                <c:pt idx="1">
                  <c:v>7</c:v>
                </c:pt>
                <c:pt idx="2">
                  <c:v>2</c:v>
                </c:pt>
                <c:pt idx="3">
                  <c:v>5</c:v>
                </c:pt>
                <c:pt idx="4">
                  <c:v>3</c:v>
                </c:pt>
              </c:numCache>
            </c:numRef>
          </c:val>
          <c:extLst>
            <c:ext xmlns:c16="http://schemas.microsoft.com/office/drawing/2014/chart" uri="{C3380CC4-5D6E-409C-BE32-E72D297353CC}">
              <c16:uniqueId val="{00000036-A2F0-42F3-9975-B5463F404A79}"/>
            </c:ext>
          </c:extLst>
        </c:ser>
        <c:ser>
          <c:idx val="5"/>
          <c:order val="5"/>
          <c:tx>
            <c:strRef>
              <c:f>'Complet. Rate NoComplet. Serv. '!$G$3</c:f>
              <c:strCache>
                <c:ptCount val="1"/>
                <c:pt idx="0">
                  <c:v>Count of Labs Completed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8-A2F0-42F3-9975-B5463F404A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A-A2F0-42F3-9975-B5463F404A7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C-A2F0-42F3-9975-B5463F404A7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E-A2F0-42F3-9975-B5463F404A7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0-A2F0-42F3-9975-B5463F404A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'Complet. Rate NoComplet. Serv. '!$A$4:$A$9</c:f>
              <c:strCache>
                <c:ptCount val="5"/>
                <c:pt idx="0">
                  <c:v>Annual Wellness Exam</c:v>
                </c:pt>
                <c:pt idx="1">
                  <c:v>Family Planning</c:v>
                </c:pt>
                <c:pt idx="2">
                  <c:v>Gynecologic Concern</c:v>
                </c:pt>
                <c:pt idx="3">
                  <c:v>Prenatal Visit</c:v>
                </c:pt>
                <c:pt idx="4">
                  <c:v>STI Screening</c:v>
                </c:pt>
              </c:strCache>
            </c:strRef>
          </c:cat>
          <c:val>
            <c:numRef>
              <c:f>'Complet. Rate NoComplet. Serv. '!$G$4:$G$9</c:f>
              <c:numCache>
                <c:formatCode>General</c:formatCode>
                <c:ptCount val="5"/>
                <c:pt idx="0">
                  <c:v>7</c:v>
                </c:pt>
                <c:pt idx="1">
                  <c:v>7</c:v>
                </c:pt>
                <c:pt idx="2">
                  <c:v>2</c:v>
                </c:pt>
                <c:pt idx="3">
                  <c:v>5</c:v>
                </c:pt>
                <c:pt idx="4">
                  <c:v>3</c:v>
                </c:pt>
              </c:numCache>
            </c:numRef>
          </c:val>
          <c:extLst>
            <c:ext xmlns:c16="http://schemas.microsoft.com/office/drawing/2014/chart" uri="{C3380CC4-5D6E-409C-BE32-E72D297353CC}">
              <c16:uniqueId val="{00000041-A2F0-42F3-9975-B5463F404A79}"/>
            </c:ext>
          </c:extLst>
        </c:ser>
        <c:ser>
          <c:idx val="6"/>
          <c:order val="6"/>
          <c:tx>
            <c:strRef>
              <c:f>'Complet. Rate NoComplet. Serv. '!$H$3</c:f>
              <c:strCache>
                <c:ptCount val="1"/>
                <c:pt idx="0">
                  <c:v>Count of Physical Completed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A2F0-42F3-9975-B5463F404A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5-A2F0-42F3-9975-B5463F404A7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7-A2F0-42F3-9975-B5463F404A7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9-A2F0-42F3-9975-B5463F404A7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B-A2F0-42F3-9975-B5463F404A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'Complet. Rate NoComplet. Serv. '!$A$4:$A$9</c:f>
              <c:strCache>
                <c:ptCount val="5"/>
                <c:pt idx="0">
                  <c:v>Annual Wellness Exam</c:v>
                </c:pt>
                <c:pt idx="1">
                  <c:v>Family Planning</c:v>
                </c:pt>
                <c:pt idx="2">
                  <c:v>Gynecologic Concern</c:v>
                </c:pt>
                <c:pt idx="3">
                  <c:v>Prenatal Visit</c:v>
                </c:pt>
                <c:pt idx="4">
                  <c:v>STI Screening</c:v>
                </c:pt>
              </c:strCache>
            </c:strRef>
          </c:cat>
          <c:val>
            <c:numRef>
              <c:f>'Complet. Rate NoComplet. Serv. '!$H$4:$H$9</c:f>
              <c:numCache>
                <c:formatCode>General</c:formatCode>
                <c:ptCount val="5"/>
                <c:pt idx="0">
                  <c:v>7</c:v>
                </c:pt>
                <c:pt idx="1">
                  <c:v>7</c:v>
                </c:pt>
                <c:pt idx="2">
                  <c:v>2</c:v>
                </c:pt>
                <c:pt idx="3">
                  <c:v>5</c:v>
                </c:pt>
                <c:pt idx="4">
                  <c:v>3</c:v>
                </c:pt>
              </c:numCache>
            </c:numRef>
          </c:val>
          <c:extLst>
            <c:ext xmlns:c16="http://schemas.microsoft.com/office/drawing/2014/chart" uri="{C3380CC4-5D6E-409C-BE32-E72D297353CC}">
              <c16:uniqueId val="{0000004C-A2F0-42F3-9975-B5463F404A79}"/>
            </c:ext>
          </c:extLst>
        </c:ser>
        <c:ser>
          <c:idx val="7"/>
          <c:order val="7"/>
          <c:tx>
            <c:strRef>
              <c:f>'Complet. Rate NoComplet. Serv. '!$I$3</c:f>
              <c:strCache>
                <c:ptCount val="1"/>
                <c:pt idx="0">
                  <c:v>Count of History Completed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E-A2F0-42F3-9975-B5463F404A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0-A2F0-42F3-9975-B5463F404A7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2-A2F0-42F3-9975-B5463F404A7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4-A2F0-42F3-9975-B5463F404A7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6-A2F0-42F3-9975-B5463F404A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'Complet. Rate NoComplet. Serv. '!$A$4:$A$9</c:f>
              <c:strCache>
                <c:ptCount val="5"/>
                <c:pt idx="0">
                  <c:v>Annual Wellness Exam</c:v>
                </c:pt>
                <c:pt idx="1">
                  <c:v>Family Planning</c:v>
                </c:pt>
                <c:pt idx="2">
                  <c:v>Gynecologic Concern</c:v>
                </c:pt>
                <c:pt idx="3">
                  <c:v>Prenatal Visit</c:v>
                </c:pt>
                <c:pt idx="4">
                  <c:v>STI Screening</c:v>
                </c:pt>
              </c:strCache>
            </c:strRef>
          </c:cat>
          <c:val>
            <c:numRef>
              <c:f>'Complet. Rate NoComplet. Serv. '!$I$4:$I$9</c:f>
              <c:numCache>
                <c:formatCode>General</c:formatCode>
                <c:ptCount val="5"/>
                <c:pt idx="0">
                  <c:v>7</c:v>
                </c:pt>
                <c:pt idx="1">
                  <c:v>7</c:v>
                </c:pt>
                <c:pt idx="2">
                  <c:v>2</c:v>
                </c:pt>
                <c:pt idx="3">
                  <c:v>5</c:v>
                </c:pt>
                <c:pt idx="4">
                  <c:v>3</c:v>
                </c:pt>
              </c:numCache>
            </c:numRef>
          </c:val>
          <c:extLst>
            <c:ext xmlns:c16="http://schemas.microsoft.com/office/drawing/2014/chart" uri="{C3380CC4-5D6E-409C-BE32-E72D297353CC}">
              <c16:uniqueId val="{00000057-A2F0-42F3-9975-B5463F404A7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ysClr val="window" lastClr="FFFFFF"/>
        </a:solid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Women's Health Data.xlsx]Follow-up Appointments by Visit!PivotTable3</c:name>
    <c:fmtId val="8"/>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Follow-Up Appointments by Visit</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'Follow-up Appointments by Visit'!$B$3:$B$4</c:f>
              <c:strCache>
                <c:ptCount val="1"/>
                <c:pt idx="0">
                  <c:v>No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'Follow-up Appointments by Visit'!$A$5:$A$10</c:f>
              <c:strCache>
                <c:ptCount val="5"/>
                <c:pt idx="0">
                  <c:v>Annual Wellness Exam</c:v>
                </c:pt>
                <c:pt idx="1">
                  <c:v>Family Planning</c:v>
                </c:pt>
                <c:pt idx="2">
                  <c:v>Gynecologic Concern</c:v>
                </c:pt>
                <c:pt idx="3">
                  <c:v>Prenatal Visit</c:v>
                </c:pt>
                <c:pt idx="4">
                  <c:v>STI Screening</c:v>
                </c:pt>
              </c:strCache>
            </c:strRef>
          </c:cat>
          <c:val>
            <c:numRef>
              <c:f>'Follow-up Appointments by Visit'!$B$5:$B$10</c:f>
              <c:numCache>
                <c:formatCode>General</c:formatCode>
                <c:ptCount val="5"/>
                <c:pt idx="0">
                  <c:v>9</c:v>
                </c:pt>
                <c:pt idx="1">
                  <c:v>3</c:v>
                </c:pt>
                <c:pt idx="2">
                  <c:v>4</c:v>
                </c:pt>
                <c:pt idx="3">
                  <c:v>6</c:v>
                </c:pt>
                <c:pt idx="4">
                  <c:v>2</c:v>
                </c:pt>
              </c:numCache>
            </c:numRef>
          </c:val>
          <c:extLst>
            <c:ext xmlns:c16="http://schemas.microsoft.com/office/drawing/2014/chart" uri="{C3380CC4-5D6E-409C-BE32-E72D297353CC}">
              <c16:uniqueId val="{00000000-8370-4844-9C51-275E772F2566}"/>
            </c:ext>
          </c:extLst>
        </c:ser>
        <c:ser>
          <c:idx val="1"/>
          <c:order val="1"/>
          <c:tx>
            <c:strRef>
              <c:f>'Follow-up Appointments by Visit'!$C$3:$C$4</c:f>
              <c:strCache>
                <c:ptCount val="1"/>
                <c:pt idx="0">
                  <c:v>Yes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'Follow-up Appointments by Visit'!$A$5:$A$10</c:f>
              <c:strCache>
                <c:ptCount val="5"/>
                <c:pt idx="0">
                  <c:v>Annual Wellness Exam</c:v>
                </c:pt>
                <c:pt idx="1">
                  <c:v>Family Planning</c:v>
                </c:pt>
                <c:pt idx="2">
                  <c:v>Gynecologic Concern</c:v>
                </c:pt>
                <c:pt idx="3">
                  <c:v>Prenatal Visit</c:v>
                </c:pt>
                <c:pt idx="4">
                  <c:v>STI Screening</c:v>
                </c:pt>
              </c:strCache>
            </c:strRef>
          </c:cat>
          <c:val>
            <c:numRef>
              <c:f>'Follow-up Appointments by Visit'!$C$5:$C$10</c:f>
              <c:numCache>
                <c:formatCode>General</c:formatCode>
                <c:ptCount val="5"/>
                <c:pt idx="0">
                  <c:v>6</c:v>
                </c:pt>
                <c:pt idx="1">
                  <c:v>7</c:v>
                </c:pt>
                <c:pt idx="2">
                  <c:v>4</c:v>
                </c:pt>
                <c:pt idx="3">
                  <c:v>4</c:v>
                </c:pt>
                <c:pt idx="4">
                  <c:v>5</c:v>
                </c:pt>
              </c:numCache>
            </c:numRef>
          </c:val>
          <c:extLst>
            <c:ext xmlns:c16="http://schemas.microsoft.com/office/drawing/2014/chart" uri="{C3380CC4-5D6E-409C-BE32-E72D297353CC}">
              <c16:uniqueId val="{00000001-8370-4844-9C51-275E772F2566}"/>
            </c:ext>
          </c:extLst>
        </c:ser>
        <c:dLbls>
          <c:showLegendKey val="0"/>
          <c:showVal val="0"/>
          <c:showCatName val="0"/>
          <c:showSerName val="0"/>
          <c:showPercent val="0"/>
          <c:showBubbleSize val="0"/>
        </c:dLbls>
        <c:gapWidth val="150"/>
        <c:overlap val="100"/>
        <c:axId val="1091629872"/>
        <c:axId val="1091628432"/>
      </c:barChart>
      <c:catAx>
        <c:axId val="1091629872"/>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Visit Type</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91628432"/>
        <c:crosses val="autoZero"/>
        <c:auto val="1"/>
        <c:lblAlgn val="ctr"/>
        <c:lblOffset val="100"/>
        <c:noMultiLvlLbl val="0"/>
      </c:catAx>
      <c:valAx>
        <c:axId val="109162843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Percentage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9162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Women's Health Data.xlsx]Education Provided Rate Age Gro!PivotTable5</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Education Provided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'Education Provided Rate Age Gro'!$B$3:$B$4</c:f>
              <c:strCache>
                <c:ptCount val="1"/>
                <c:pt idx="0">
                  <c:v>No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'Education Provided Rate Age Gro'!$A$5:$A$10</c:f>
              <c:strCache>
                <c:ptCount val="5"/>
                <c:pt idx="0">
                  <c:v>&lt;25</c:v>
                </c:pt>
                <c:pt idx="1">
                  <c:v>25–34</c:v>
                </c:pt>
                <c:pt idx="2">
                  <c:v>35–44</c:v>
                </c:pt>
                <c:pt idx="3">
                  <c:v>45–54</c:v>
                </c:pt>
                <c:pt idx="4">
                  <c:v>55+</c:v>
                </c:pt>
              </c:strCache>
            </c:strRef>
          </c:cat>
          <c:val>
            <c:numRef>
              <c:f>'Education Provided Rate Age Gro'!$B$5:$B$10</c:f>
              <c:numCache>
                <c:formatCode>General</c:formatCode>
                <c:ptCount val="5"/>
                <c:pt idx="0">
                  <c:v>2</c:v>
                </c:pt>
                <c:pt idx="1">
                  <c:v>4</c:v>
                </c:pt>
                <c:pt idx="2">
                  <c:v>2</c:v>
                </c:pt>
                <c:pt idx="3">
                  <c:v>4</c:v>
                </c:pt>
                <c:pt idx="4">
                  <c:v>11</c:v>
                </c:pt>
              </c:numCache>
            </c:numRef>
          </c:val>
          <c:extLst>
            <c:ext xmlns:c16="http://schemas.microsoft.com/office/drawing/2014/chart" uri="{C3380CC4-5D6E-409C-BE32-E72D297353CC}">
              <c16:uniqueId val="{00000000-9D95-4942-935B-7A121B408C8E}"/>
            </c:ext>
          </c:extLst>
        </c:ser>
        <c:ser>
          <c:idx val="1"/>
          <c:order val="1"/>
          <c:tx>
            <c:strRef>
              <c:f>'Education Provided Rate Age Gro'!$C$3:$C$4</c:f>
              <c:strCache>
                <c:ptCount val="1"/>
                <c:pt idx="0">
                  <c:v>Yes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'Education Provided Rate Age Gro'!$A$5:$A$10</c:f>
              <c:strCache>
                <c:ptCount val="5"/>
                <c:pt idx="0">
                  <c:v>&lt;25</c:v>
                </c:pt>
                <c:pt idx="1">
                  <c:v>25–34</c:v>
                </c:pt>
                <c:pt idx="2">
                  <c:v>35–44</c:v>
                </c:pt>
                <c:pt idx="3">
                  <c:v>45–54</c:v>
                </c:pt>
                <c:pt idx="4">
                  <c:v>55+</c:v>
                </c:pt>
              </c:strCache>
            </c:strRef>
          </c:cat>
          <c:val>
            <c:numRef>
              <c:f>'Education Provided Rate Age Gro'!$C$5:$C$10</c:f>
              <c:numCache>
                <c:formatCode>General</c:formatCode>
                <c:ptCount val="5"/>
                <c:pt idx="0">
                  <c:v>2</c:v>
                </c:pt>
                <c:pt idx="1">
                  <c:v>5</c:v>
                </c:pt>
                <c:pt idx="2">
                  <c:v>4</c:v>
                </c:pt>
                <c:pt idx="3">
                  <c:v>3</c:v>
                </c:pt>
                <c:pt idx="4">
                  <c:v>13</c:v>
                </c:pt>
              </c:numCache>
            </c:numRef>
          </c:val>
          <c:extLst>
            <c:ext xmlns:c16="http://schemas.microsoft.com/office/drawing/2014/chart" uri="{C3380CC4-5D6E-409C-BE32-E72D297353CC}">
              <c16:uniqueId val="{00000001-9D95-4942-935B-7A121B408C8E}"/>
            </c:ext>
          </c:extLst>
        </c:ser>
        <c:dLbls>
          <c:showLegendKey val="0"/>
          <c:showVal val="0"/>
          <c:showCatName val="0"/>
          <c:showSerName val="0"/>
          <c:showPercent val="0"/>
          <c:showBubbleSize val="0"/>
        </c:dLbls>
        <c:gapWidth val="100"/>
        <c:overlap val="-24"/>
        <c:axId val="1091631792"/>
        <c:axId val="1091618832"/>
      </c:barChart>
      <c:catAx>
        <c:axId val="1091631792"/>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Age Group</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91618832"/>
        <c:crosses val="autoZero"/>
        <c:auto val="1"/>
        <c:lblAlgn val="ctr"/>
        <c:lblOffset val="100"/>
        <c:noMultiLvlLbl val="0"/>
      </c:catAx>
      <c:valAx>
        <c:axId val="109161883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Number of Patients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9163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Women's Health Data.xlsx]Visit Type Distrib.!PivotTable1</c:name>
    <c:fmtId val="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Distribution of Visit Type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s>
    <c:plotArea>
      <c:layout/>
      <c:lineChart>
        <c:grouping val="stacked"/>
        <c:varyColors val="0"/>
        <c:ser>
          <c:idx val="0"/>
          <c:order val="0"/>
          <c:tx>
            <c:strRef>
              <c:f>'Visit Type Distrib.'!$B$3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0-9133-4FC5-8D93-98177DED91F6}"/>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1-9133-4FC5-8D93-98177DED91F6}"/>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2-9133-4FC5-8D93-98177DED91F6}"/>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3-9133-4FC5-8D93-98177DED91F6}"/>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4-9133-4FC5-8D93-98177DED91F6}"/>
              </c:ext>
            </c:extLst>
          </c:dPt>
          <c:cat>
            <c:strRef>
              <c:f>'Visit Type Distrib.'!$A$4:$A$9</c:f>
              <c:strCache>
                <c:ptCount val="5"/>
                <c:pt idx="0">
                  <c:v>Annual Wellness Exam</c:v>
                </c:pt>
                <c:pt idx="1">
                  <c:v>Family Planning</c:v>
                </c:pt>
                <c:pt idx="2">
                  <c:v>Gynecologic Concern</c:v>
                </c:pt>
                <c:pt idx="3">
                  <c:v>Prenatal Visit</c:v>
                </c:pt>
                <c:pt idx="4">
                  <c:v>STI Screening</c:v>
                </c:pt>
              </c:strCache>
            </c:strRef>
          </c:cat>
          <c:val>
            <c:numRef>
              <c:f>'Visit Type Distrib.'!$B$4:$B$9</c:f>
              <c:numCache>
                <c:formatCode>General</c:formatCode>
                <c:ptCount val="5"/>
                <c:pt idx="0">
                  <c:v>15</c:v>
                </c:pt>
                <c:pt idx="1">
                  <c:v>10</c:v>
                </c:pt>
                <c:pt idx="2">
                  <c:v>8</c:v>
                </c:pt>
                <c:pt idx="3">
                  <c:v>10</c:v>
                </c:pt>
                <c:pt idx="4">
                  <c:v>7</c:v>
                </c:pt>
              </c:numCache>
            </c:numRef>
          </c:val>
          <c:smooth val="0"/>
          <c:extLst>
            <c:ext xmlns:c16="http://schemas.microsoft.com/office/drawing/2014/chart" uri="{C3380CC4-5D6E-409C-BE32-E72D297353CC}">
              <c16:uniqueId val="{00000005-9133-4FC5-8D93-98177DED91F6}"/>
            </c:ext>
          </c:extLst>
        </c:ser>
        <c:dLbls>
          <c:showLegendKey val="0"/>
          <c:showVal val="0"/>
          <c:showCatName val="0"/>
          <c:showSerName val="0"/>
          <c:showPercent val="0"/>
          <c:showBubbleSize val="0"/>
        </c:dLbls>
        <c:marker val="1"/>
        <c:smooth val="0"/>
        <c:axId val="991445823"/>
        <c:axId val="991446303"/>
      </c:lineChart>
      <c:catAx>
        <c:axId val="991445823"/>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Visit Type</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US"/>
          </a:p>
        </c:txPr>
        <c:crossAx val="991446303"/>
        <c:crosses val="autoZero"/>
        <c:auto val="1"/>
        <c:lblAlgn val="ctr"/>
        <c:lblOffset val="100"/>
        <c:noMultiLvlLbl val="0"/>
      </c:catAx>
      <c:valAx>
        <c:axId val="99144630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Number of Patients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9144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[ACCHD Women's Health Data.xlsx]Avg. Service Score by Visit Typ!PivotTable8</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Average Service Completion Score by Visit Type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Service Score by Visit Typ'!$B$3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Service Score by Visit Typ'!$A$4:$A$9</c:f>
              <c:strCache>
                <c:ptCount val="5"/>
                <c:pt idx="0">
                  <c:v>Annual Wellness Exam</c:v>
                </c:pt>
                <c:pt idx="1">
                  <c:v>Family Planning</c:v>
                </c:pt>
                <c:pt idx="2">
                  <c:v>Gynecologic Concern</c:v>
                </c:pt>
                <c:pt idx="3">
                  <c:v>Prenatal Visit</c:v>
                </c:pt>
                <c:pt idx="4">
                  <c:v>STI Screening</c:v>
                </c:pt>
              </c:strCache>
            </c:strRef>
          </c:cat>
          <c:val>
            <c:numRef>
              <c:f>'Avg. Service Score by Visit Typ'!$B$4:$B$9</c:f>
              <c:numCache>
                <c:formatCode>0.00</c:formatCode>
                <c:ptCount val="5"/>
                <c:pt idx="0">
                  <c:v>4.7333333333333334</c:v>
                </c:pt>
                <c:pt idx="1">
                  <c:v>4.5999999999999996</c:v>
                </c:pt>
                <c:pt idx="2">
                  <c:v>4.75</c:v>
                </c:pt>
                <c:pt idx="3">
                  <c:v>4.8</c:v>
                </c:pt>
                <c:pt idx="4">
                  <c:v>4.7142857142857144</c:v>
                </c:pt>
              </c:numCache>
            </c:numRef>
          </c:val>
          <c:extLst>
            <c:ext xmlns:c16="http://schemas.microsoft.com/office/drawing/2014/chart" uri="{C3380CC4-5D6E-409C-BE32-E72D297353CC}">
              <c16:uniqueId val="{00000000-D820-44DD-A296-31F2EEF1F2C0}"/>
            </c:ext>
          </c:extLst>
        </c:ser>
        <c:dLbls>
          <c:showLegendKey val="0"/>
          <c:showVal val="0"/>
          <c:showCatName val="0"/>
          <c:showSerName val="0"/>
          <c:showPercent val="0"/>
          <c:showBubbleSize val="0"/>
        </c:dLbls>
        <c:gapWidth val="115"/>
        <c:overlap val="-20"/>
        <c:axId val="761697487"/>
        <c:axId val="761685487"/>
      </c:barChart>
      <c:catAx>
        <c:axId val="761697487"/>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b="1">
                    <a:solidFill>
                      <a:sysClr val="windowText" lastClr="000000"/>
                    </a:solidFill>
                  </a:rPr>
                  <a:t>Visit Type</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61685487"/>
        <c:crosses val="autoZero"/>
        <c:auto val="1"/>
        <c:lblAlgn val="ctr"/>
        <c:lblOffset val="100"/>
        <c:noMultiLvlLbl val="0"/>
      </c:catAx>
      <c:valAx>
        <c:axId val="761685487"/>
        <c:scaling>
          <c:orientation val="minMax"/>
          <c:max val="5"/>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b="1">
                    <a:solidFill>
                      <a:sysClr val="windowText" lastClr="000000"/>
                    </a:solidFill>
                  </a:rPr>
                  <a:t>Service Completion Score</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6169748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249464</xdr:colOff>
      <xdr:row>0</xdr:row>
      <xdr:rowOff>0</xdr:rowOff>
    </xdr:from>
    <xdr:to>
      <xdr:col>10</xdr:col>
      <xdr:colOff>433191</xdr:colOff>
      <xdr:row>17</xdr:row>
      <xdr:rowOff>50377</xdr:rowOff>
    </xdr:to>
    <xdr:graphicFrame macro="">
      <xdr:nvGraphicFramePr>
        <xdr:cNvPr id="2" name="Chart 1">
          <a:extLst>
            <a:ext uri="{FF2B5EF4-FFF2-40B4-BE49-F238E27FC236}">
              <a16:creationId xmlns:a16="http://schemas.microsoft.com/office/drawing/2014/main" id="{237E2316-8159-42E1-A922-3854F38F8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417288</xdr:colOff>
      <xdr:row>0</xdr:row>
      <xdr:rowOff>0</xdr:rowOff>
    </xdr:from>
    <xdr:to>
      <xdr:col>17</xdr:col>
      <xdr:colOff>601014</xdr:colOff>
      <xdr:row>17</xdr:row>
      <xdr:rowOff>118413</xdr:rowOff>
    </xdr:to>
    <xdr:graphicFrame macro="">
      <xdr:nvGraphicFramePr>
        <xdr:cNvPr id="3" name="Chart 2">
          <a:extLst>
            <a:ext uri="{FF2B5EF4-FFF2-40B4-BE49-F238E27FC236}">
              <a16:creationId xmlns:a16="http://schemas.microsoft.com/office/drawing/2014/main" id="{AFF781D8-FB87-48EA-9F15-C2E11CD63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585864</xdr:colOff>
      <xdr:row>0</xdr:row>
      <xdr:rowOff>0</xdr:rowOff>
    </xdr:from>
    <xdr:to>
      <xdr:col>25</xdr:col>
      <xdr:colOff>157269</xdr:colOff>
      <xdr:row>17</xdr:row>
      <xdr:rowOff>50377</xdr:rowOff>
    </xdr:to>
    <xdr:graphicFrame macro="">
      <xdr:nvGraphicFramePr>
        <xdr:cNvPr id="4" name="Chart 3">
          <a:extLst>
            <a:ext uri="{FF2B5EF4-FFF2-40B4-BE49-F238E27FC236}">
              <a16:creationId xmlns:a16="http://schemas.microsoft.com/office/drawing/2014/main" id="{6849C071-AAFB-4537-938B-8F99669E0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249464</xdr:colOff>
      <xdr:row>17</xdr:row>
      <xdr:rowOff>48683</xdr:rowOff>
    </xdr:from>
    <xdr:to>
      <xdr:col>10</xdr:col>
      <xdr:colOff>433191</xdr:colOff>
      <xdr:row>34</xdr:row>
      <xdr:rowOff>99059</xdr:rowOff>
    </xdr:to>
    <xdr:graphicFrame macro="">
      <xdr:nvGraphicFramePr>
        <xdr:cNvPr id="5" name="Chart 4">
          <a:extLst>
            <a:ext uri="{FF2B5EF4-FFF2-40B4-BE49-F238E27FC236}">
              <a16:creationId xmlns:a16="http://schemas.microsoft.com/office/drawing/2014/main" id="{33BCE36A-5400-4AA7-ACB9-5E877FB3F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405946</xdr:colOff>
      <xdr:row>17</xdr:row>
      <xdr:rowOff>47927</xdr:rowOff>
    </xdr:from>
    <xdr:to>
      <xdr:col>17</xdr:col>
      <xdr:colOff>589672</xdr:colOff>
      <xdr:row>34</xdr:row>
      <xdr:rowOff>98303</xdr:rowOff>
    </xdr:to>
    <xdr:graphicFrame macro="">
      <xdr:nvGraphicFramePr>
        <xdr:cNvPr id="6" name="Chart 5">
          <a:extLst>
            <a:ext uri="{FF2B5EF4-FFF2-40B4-BE49-F238E27FC236}">
              <a16:creationId xmlns:a16="http://schemas.microsoft.com/office/drawing/2014/main" id="{E57D15F4-6EC7-4855-839E-561278FA2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596446</xdr:colOff>
      <xdr:row>17</xdr:row>
      <xdr:rowOff>63500</xdr:rowOff>
    </xdr:from>
    <xdr:to>
      <xdr:col>25</xdr:col>
      <xdr:colOff>167851</xdr:colOff>
      <xdr:row>34</xdr:row>
      <xdr:rowOff>113876</xdr:rowOff>
    </xdr:to>
    <xdr:graphicFrame macro="">
      <xdr:nvGraphicFramePr>
        <xdr:cNvPr id="7" name="Chart 6">
          <a:extLst>
            <a:ext uri="{FF2B5EF4-FFF2-40B4-BE49-F238E27FC236}">
              <a16:creationId xmlns:a16="http://schemas.microsoft.com/office/drawing/2014/main" id="{6F23A427-A2C6-46D7-8D2E-B7E32CC72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64508</xdr:rowOff>
    </xdr:from>
    <xdr:to>
      <xdr:col>3</xdr:col>
      <xdr:colOff>8467</xdr:colOff>
      <xdr:row>14</xdr:row>
      <xdr:rowOff>22678</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8D3FA6FB-1768-B5D2-CE22-7D3F1FB5D6A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0" y="790222"/>
              <a:ext cx="1845431" cy="1772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6652</xdr:colOff>
      <xdr:row>20</xdr:row>
      <xdr:rowOff>160263</xdr:rowOff>
    </xdr:from>
    <xdr:to>
      <xdr:col>3</xdr:col>
      <xdr:colOff>15119</xdr:colOff>
      <xdr:row>30</xdr:row>
      <xdr:rowOff>43845</xdr:rowOff>
    </xdr:to>
    <mc:AlternateContent xmlns:mc="http://schemas.openxmlformats.org/markup-compatibility/2006" xmlns:a14="http://schemas.microsoft.com/office/drawing/2010/main">
      <mc:Choice Requires="a14">
        <xdr:graphicFrame macro="">
          <xdr:nvGraphicFramePr>
            <xdr:cNvPr id="9" name="Visit Type">
              <a:extLst>
                <a:ext uri="{FF2B5EF4-FFF2-40B4-BE49-F238E27FC236}">
                  <a16:creationId xmlns:a16="http://schemas.microsoft.com/office/drawing/2014/main" id="{2AFF615C-BA62-F001-7670-7D0C29C8E716}"/>
                </a:ext>
              </a:extLst>
            </xdr:cNvPr>
            <xdr:cNvGraphicFramePr/>
          </xdr:nvGraphicFramePr>
          <xdr:xfrm>
            <a:off x="0" y="0"/>
            <a:ext cx="0" cy="0"/>
          </xdr:xfrm>
          <a:graphic>
            <a:graphicData uri="http://schemas.microsoft.com/office/drawing/2010/slicer">
              <sle:slicer xmlns:sle="http://schemas.microsoft.com/office/drawing/2010/slicer" name="Visit Type"/>
            </a:graphicData>
          </a:graphic>
        </xdr:graphicFrame>
      </mc:Choice>
      <mc:Fallback xmlns="">
        <xdr:sp macro="" textlink="">
          <xdr:nvSpPr>
            <xdr:cNvPr id="0" name=""/>
            <xdr:cNvSpPr>
              <a:spLocks noTextEdit="1"/>
            </xdr:cNvSpPr>
          </xdr:nvSpPr>
          <xdr:spPr>
            <a:xfrm>
              <a:off x="6652" y="3788834"/>
              <a:ext cx="1845431" cy="1697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Rao" refreshedDate="45859.394769791666" createdVersion="8" refreshedVersion="8" minRefreshableVersion="3" recordCount="50" xr:uid="{6E745D28-58DD-429F-8FD2-D677E19334C4}">
  <cacheSource type="worksheet">
    <worksheetSource name="WomensHealth"/>
  </cacheSource>
  <cacheFields count="14">
    <cacheField name="Patient Initials" numFmtId="0">
      <sharedItems/>
    </cacheField>
    <cacheField name="Date of Birth" numFmtId="14">
      <sharedItems containsSemiMixedTypes="0" containsNonDate="0" containsDate="1" containsString="0" minDate="1937-04-28T00:00:00" maxDate="2005-11-24T00:00:00"/>
    </cacheField>
    <cacheField name="Age" numFmtId="0">
      <sharedItems containsSemiMixedTypes="0" containsString="0" containsNumber="1" containsInteger="1" minValue="19" maxValue="88"/>
    </cacheField>
    <cacheField name="Age Group" numFmtId="0">
      <sharedItems count="5">
        <s v="55+"/>
        <s v="25–34"/>
        <s v="&lt;25"/>
        <s v="45–54"/>
        <s v="35–44"/>
      </sharedItems>
    </cacheField>
    <cacheField name="Visit Type" numFmtId="0">
      <sharedItems count="5">
        <s v="Annual Wellness Exam"/>
        <s v="Gynecologic Concern"/>
        <s v="Prenatal Visit"/>
        <s v="Family Planning"/>
        <s v="STI Screening"/>
      </sharedItems>
    </cacheField>
    <cacheField name="Consent Completed" numFmtId="0">
      <sharedItems/>
    </cacheField>
    <cacheField name="History Completed" numFmtId="0">
      <sharedItems/>
    </cacheField>
    <cacheField name="Physical Completed" numFmtId="0">
      <sharedItems/>
    </cacheField>
    <cacheField name="Labs Completed" numFmtId="0">
      <sharedItems count="2">
        <s v="No  "/>
        <s v="Yes  "/>
      </sharedItems>
    </cacheField>
    <cacheField name="Diagnostic Test Completed" numFmtId="0">
      <sharedItems/>
    </cacheField>
    <cacheField name="Education Provided" numFmtId="0">
      <sharedItems count="2">
        <s v="No  "/>
        <s v="Yes  "/>
      </sharedItems>
    </cacheField>
    <cacheField name="Treatment Plan Completed" numFmtId="0">
      <sharedItems/>
    </cacheField>
    <cacheField name="Follow Up Appointments Provided" numFmtId="0">
      <sharedItems count="2">
        <s v="No  "/>
        <s v="Yes  "/>
      </sharedItems>
    </cacheField>
    <cacheField name="History of Violence" numFmtId="0">
      <sharedItems count="2">
        <s v="No"/>
        <s v="Yes"/>
      </sharedItems>
    </cacheField>
  </cacheFields>
  <extLst>
    <ext xmlns:x14="http://schemas.microsoft.com/office/spreadsheetml/2009/9/main" uri="{725AE2AE-9491-48be-B2B4-4EB974FC3084}">
      <x14:pivotCacheDefinition pivotCacheId="17887681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Rao" refreshedDate="45859.445991435183" createdVersion="8" refreshedVersion="8" minRefreshableVersion="3" recordCount="50" xr:uid="{38011720-B124-4659-BD51-B3DC46DA1C97}">
  <cacheSource type="worksheet">
    <worksheetSource name="WomensHealth_1"/>
  </cacheSource>
  <cacheFields count="15">
    <cacheField name="Patient Initials" numFmtId="0">
      <sharedItems/>
    </cacheField>
    <cacheField name="Date of Birth" numFmtId="22">
      <sharedItems containsSemiMixedTypes="0" containsNonDate="0" containsDate="1" containsString="0" minDate="1937-04-28T00:00:00" maxDate="2005-11-24T00:00:00"/>
    </cacheField>
    <cacheField name="Age" numFmtId="0">
      <sharedItems containsSemiMixedTypes="0" containsString="0" containsNumber="1" containsInteger="1" minValue="19" maxValue="88"/>
    </cacheField>
    <cacheField name="Age Group" numFmtId="0">
      <sharedItems/>
    </cacheField>
    <cacheField name="Visit Type" numFmtId="0">
      <sharedItems count="5">
        <s v="Annual Wellness Exam"/>
        <s v="Gynecologic Concern"/>
        <s v="Prenatal Visit"/>
        <s v="Family Planning"/>
        <s v="STI Screening"/>
      </sharedItems>
    </cacheField>
    <cacheField name="Consent Completed" numFmtId="0">
      <sharedItems/>
    </cacheField>
    <cacheField name="History Completed" numFmtId="0">
      <sharedItems/>
    </cacheField>
    <cacheField name="Physical Completed" numFmtId="0">
      <sharedItems/>
    </cacheField>
    <cacheField name="Labs Completed" numFmtId="0">
      <sharedItems/>
    </cacheField>
    <cacheField name="Diagnostic Test Completed" numFmtId="0">
      <sharedItems/>
    </cacheField>
    <cacheField name="Education Provided" numFmtId="0">
      <sharedItems/>
    </cacheField>
    <cacheField name="Treatment Plan Completed" numFmtId="0">
      <sharedItems/>
    </cacheField>
    <cacheField name="Follow Up Appointments Provided" numFmtId="0">
      <sharedItems/>
    </cacheField>
    <cacheField name="History of Violence" numFmtId="0">
      <sharedItems/>
    </cacheField>
    <cacheField name="Service Score" numFmtId="0">
      <sharedItems containsSemiMixedTypes="0" containsString="0" containsNumber="1" containsInteger="1" minValue="2" maxValue="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L.X."/>
    <d v="1958-08-25T00:00:00"/>
    <n v="66"/>
    <x v="0"/>
    <x v="0"/>
    <s v="Yes"/>
    <s v="Yes  "/>
    <s v="Yes  "/>
    <x v="0"/>
    <s v="Yes  "/>
    <x v="0"/>
    <s v="Yes  "/>
    <x v="0"/>
    <x v="0"/>
  </r>
  <r>
    <s v="J.J."/>
    <d v="1998-03-07T00:00:00"/>
    <n v="27"/>
    <x v="1"/>
    <x v="0"/>
    <s v="Yes"/>
    <s v="No  "/>
    <s v="No  "/>
    <x v="1"/>
    <s v="No  "/>
    <x v="1"/>
    <s v="No  "/>
    <x v="1"/>
    <x v="0"/>
  </r>
  <r>
    <s v="M.G."/>
    <d v="1956-04-30T00:00:00"/>
    <n v="69"/>
    <x v="0"/>
    <x v="1"/>
    <s v="Yes"/>
    <s v="Yes  "/>
    <s v="Yes  "/>
    <x v="0"/>
    <s v="No  "/>
    <x v="1"/>
    <s v="No  "/>
    <x v="1"/>
    <x v="0"/>
  </r>
  <r>
    <s v="T.N."/>
    <d v="1947-06-16T00:00:00"/>
    <n v="78"/>
    <x v="0"/>
    <x v="2"/>
    <s v="Yes"/>
    <s v="Yes  "/>
    <s v="No  "/>
    <x v="1"/>
    <s v="Yes  "/>
    <x v="0"/>
    <s v="Yes  "/>
    <x v="0"/>
    <x v="0"/>
  </r>
  <r>
    <s v="A.S."/>
    <d v="2005-07-12T00:00:00"/>
    <n v="20"/>
    <x v="2"/>
    <x v="2"/>
    <s v="Yes"/>
    <s v="No  "/>
    <s v="No  "/>
    <x v="1"/>
    <s v="No  "/>
    <x v="1"/>
    <s v="Yes  "/>
    <x v="1"/>
    <x v="0"/>
  </r>
  <r>
    <s v="L.P."/>
    <d v="1979-06-27T00:00:00"/>
    <n v="46"/>
    <x v="3"/>
    <x v="2"/>
    <s v="Yes"/>
    <s v="Yes  "/>
    <s v="Yes  "/>
    <x v="0"/>
    <s v="Yes  "/>
    <x v="0"/>
    <s v="No  "/>
    <x v="1"/>
    <x v="0"/>
  </r>
  <r>
    <s v="G.X."/>
    <d v="1997-10-17T00:00:00"/>
    <n v="27"/>
    <x v="1"/>
    <x v="0"/>
    <s v="Yes"/>
    <s v="No  "/>
    <s v="Yes  "/>
    <x v="0"/>
    <s v="No  "/>
    <x v="1"/>
    <s v="Yes  "/>
    <x v="0"/>
    <x v="0"/>
  </r>
  <r>
    <s v="B.V."/>
    <d v="1990-06-13T00:00:00"/>
    <n v="35"/>
    <x v="4"/>
    <x v="3"/>
    <s v="Yes"/>
    <s v="No  "/>
    <s v="No  "/>
    <x v="1"/>
    <s v="Yes  "/>
    <x v="1"/>
    <s v="No  "/>
    <x v="1"/>
    <x v="0"/>
  </r>
  <r>
    <s v="Q.K."/>
    <d v="2000-07-12T00:00:00"/>
    <n v="25"/>
    <x v="1"/>
    <x v="0"/>
    <s v="Yes"/>
    <s v="Yes  "/>
    <s v="Yes  "/>
    <x v="1"/>
    <s v="Yes  "/>
    <x v="0"/>
    <s v="No  "/>
    <x v="0"/>
    <x v="0"/>
  </r>
  <r>
    <s v="E.O."/>
    <d v="1979-05-08T00:00:00"/>
    <n v="46"/>
    <x v="3"/>
    <x v="3"/>
    <s v="Yes"/>
    <s v="Yes  "/>
    <s v="No  "/>
    <x v="0"/>
    <s v="No  "/>
    <x v="0"/>
    <s v="Yes  "/>
    <x v="0"/>
    <x v="0"/>
  </r>
  <r>
    <s v="Q.J."/>
    <d v="1979-02-11T00:00:00"/>
    <n v="46"/>
    <x v="3"/>
    <x v="4"/>
    <s v="Yes"/>
    <s v="No  "/>
    <s v="No  "/>
    <x v="1"/>
    <s v="Yes  "/>
    <x v="1"/>
    <s v="Yes  "/>
    <x v="1"/>
    <x v="0"/>
  </r>
  <r>
    <s v="T.R."/>
    <d v="1980-08-01T00:00:00"/>
    <n v="44"/>
    <x v="4"/>
    <x v="0"/>
    <s v="Yes"/>
    <s v="Yes  "/>
    <s v="Yes  "/>
    <x v="0"/>
    <s v="No  "/>
    <x v="0"/>
    <s v="No  "/>
    <x v="0"/>
    <x v="0"/>
  </r>
  <r>
    <s v="H.P."/>
    <d v="1999-09-24T00:00:00"/>
    <n v="25"/>
    <x v="1"/>
    <x v="0"/>
    <s v="Yes"/>
    <s v="No  "/>
    <s v="No  "/>
    <x v="1"/>
    <s v="No  "/>
    <x v="1"/>
    <s v="Yes  "/>
    <x v="1"/>
    <x v="0"/>
  </r>
  <r>
    <s v="Z.W."/>
    <d v="1980-05-18T00:00:00"/>
    <n v="45"/>
    <x v="3"/>
    <x v="0"/>
    <s v="Yes"/>
    <s v="Yes  "/>
    <s v="Yes  "/>
    <x v="1"/>
    <s v="Yes  "/>
    <x v="1"/>
    <s v="No  "/>
    <x v="0"/>
    <x v="0"/>
  </r>
  <r>
    <s v="M.Z."/>
    <d v="2002-08-20T00:00:00"/>
    <n v="22"/>
    <x v="2"/>
    <x v="2"/>
    <s v="Yes"/>
    <s v="Yes  "/>
    <s v="Yes  "/>
    <x v="0"/>
    <s v="Yes  "/>
    <x v="0"/>
    <s v="Yes  "/>
    <x v="1"/>
    <x v="0"/>
  </r>
  <r>
    <s v="B.M."/>
    <d v="1958-08-19T00:00:00"/>
    <n v="66"/>
    <x v="0"/>
    <x v="2"/>
    <s v="Yes"/>
    <s v="No  "/>
    <s v="No  "/>
    <x v="0"/>
    <s v="No  "/>
    <x v="0"/>
    <s v="Yes  "/>
    <x v="0"/>
    <x v="0"/>
  </r>
  <r>
    <s v="M.Z."/>
    <d v="1958-03-09T00:00:00"/>
    <n v="67"/>
    <x v="0"/>
    <x v="3"/>
    <s v="Yes"/>
    <s v="No  "/>
    <s v="Yes  "/>
    <x v="1"/>
    <s v="Yes  "/>
    <x v="1"/>
    <s v="No  "/>
    <x v="1"/>
    <x v="0"/>
  </r>
  <r>
    <s v="U.A."/>
    <d v="1967-07-31T00:00:00"/>
    <n v="57"/>
    <x v="0"/>
    <x v="3"/>
    <s v="Yes"/>
    <s v="Yes  "/>
    <s v="Yes  "/>
    <x v="0"/>
    <s v="No  "/>
    <x v="1"/>
    <s v="No  "/>
    <x v="1"/>
    <x v="0"/>
  </r>
  <r>
    <s v="Q.U."/>
    <d v="1948-12-14T00:00:00"/>
    <n v="76"/>
    <x v="0"/>
    <x v="0"/>
    <s v="Yes"/>
    <s v="No  "/>
    <s v="No  "/>
    <x v="1"/>
    <s v="No  "/>
    <x v="0"/>
    <s v="Yes  "/>
    <x v="0"/>
    <x v="0"/>
  </r>
  <r>
    <s v="A.T."/>
    <d v="1992-06-28T00:00:00"/>
    <n v="33"/>
    <x v="1"/>
    <x v="3"/>
    <s v="Yes"/>
    <s v="Yes  "/>
    <s v="No  "/>
    <x v="0"/>
    <s v="Yes  "/>
    <x v="1"/>
    <s v="Yes  "/>
    <x v="1"/>
    <x v="0"/>
  </r>
  <r>
    <s v="N.T."/>
    <d v="1963-06-22T00:00:00"/>
    <n v="62"/>
    <x v="0"/>
    <x v="2"/>
    <s v="Yes"/>
    <s v="Yes  "/>
    <s v="Yes  "/>
    <x v="1"/>
    <s v="Yes  "/>
    <x v="0"/>
    <s v="No  "/>
    <x v="0"/>
    <x v="0"/>
  </r>
  <r>
    <s v="A.N."/>
    <d v="1945-03-05T00:00:00"/>
    <n v="80"/>
    <x v="0"/>
    <x v="3"/>
    <s v="Yes"/>
    <s v="No  "/>
    <s v="No  "/>
    <x v="0"/>
    <s v="Yes  "/>
    <x v="0"/>
    <s v="Yes  "/>
    <x v="1"/>
    <x v="0"/>
  </r>
  <r>
    <s v="G.C."/>
    <d v="1937-04-28T00:00:00"/>
    <n v="88"/>
    <x v="0"/>
    <x v="4"/>
    <s v="Yes"/>
    <s v="Yes  "/>
    <s v="Yes  "/>
    <x v="0"/>
    <s v="No  "/>
    <x v="1"/>
    <s v="No  "/>
    <x v="1"/>
    <x v="0"/>
  </r>
  <r>
    <s v="P.X."/>
    <d v="1942-11-06T00:00:00"/>
    <n v="82"/>
    <x v="0"/>
    <x v="2"/>
    <s v="Yes"/>
    <s v="No  "/>
    <s v="No  "/>
    <x v="1"/>
    <s v="Yes  "/>
    <x v="1"/>
    <s v="Yes  "/>
    <x v="0"/>
    <x v="0"/>
  </r>
  <r>
    <s v="B.F."/>
    <d v="1961-12-21T00:00:00"/>
    <n v="63"/>
    <x v="0"/>
    <x v="4"/>
    <s v="Yes"/>
    <s v="No  "/>
    <s v="Yes  "/>
    <x v="1"/>
    <s v="No  "/>
    <x v="0"/>
    <s v="No  "/>
    <x v="0"/>
    <x v="1"/>
  </r>
  <r>
    <s v="F.L."/>
    <d v="1943-09-13T00:00:00"/>
    <n v="81"/>
    <x v="0"/>
    <x v="3"/>
    <s v="Yes"/>
    <s v="Yes  "/>
    <s v="Yes  "/>
    <x v="1"/>
    <s v="No  "/>
    <x v="1"/>
    <s v="No  "/>
    <x v="1"/>
    <x v="1"/>
  </r>
  <r>
    <s v="M.P."/>
    <d v="1987-09-03T00:00:00"/>
    <n v="37"/>
    <x v="4"/>
    <x v="1"/>
    <s v="Yes"/>
    <s v="Yes  "/>
    <s v="No  "/>
    <x v="0"/>
    <s v="Yes  "/>
    <x v="0"/>
    <s v="Yes  "/>
    <x v="0"/>
    <x v="0"/>
  </r>
  <r>
    <s v="L.B."/>
    <d v="1956-01-11T00:00:00"/>
    <n v="69"/>
    <x v="0"/>
    <x v="0"/>
    <s v="Yes"/>
    <s v="No  "/>
    <s v="No  "/>
    <x v="1"/>
    <s v="No  "/>
    <x v="1"/>
    <s v="Yes  "/>
    <x v="1"/>
    <x v="0"/>
  </r>
  <r>
    <s v="U.W."/>
    <d v="1991-01-13T00:00:00"/>
    <n v="34"/>
    <x v="1"/>
    <x v="2"/>
    <s v="Yes"/>
    <s v="Yes  "/>
    <s v="Yes  "/>
    <x v="0"/>
    <s v="Yes  "/>
    <x v="0"/>
    <s v="Yes  "/>
    <x v="0"/>
    <x v="0"/>
  </r>
  <r>
    <s v="K.F."/>
    <d v="1959-06-22T00:00:00"/>
    <n v="66"/>
    <x v="0"/>
    <x v="4"/>
    <s v="Yes"/>
    <s v="No  "/>
    <s v="Yes  "/>
    <x v="0"/>
    <s v="Yes  "/>
    <x v="1"/>
    <s v="No  "/>
    <x v="1"/>
    <x v="0"/>
  </r>
  <r>
    <s v="D.G."/>
    <d v="1992-10-04T00:00:00"/>
    <n v="32"/>
    <x v="1"/>
    <x v="1"/>
    <s v="Yes"/>
    <s v="No  "/>
    <s v="No  "/>
    <x v="1"/>
    <s v="No  "/>
    <x v="1"/>
    <s v="No  "/>
    <x v="1"/>
    <x v="0"/>
  </r>
  <r>
    <s v="L.B."/>
    <d v="1991-12-21T00:00:00"/>
    <n v="33"/>
    <x v="1"/>
    <x v="1"/>
    <s v="Yes"/>
    <s v="Yes  "/>
    <s v="Yes  "/>
    <x v="1"/>
    <s v="No  "/>
    <x v="0"/>
    <s v="Yes  "/>
    <x v="0"/>
    <x v="0"/>
  </r>
  <r>
    <s v="R.X."/>
    <d v="1959-09-10T00:00:00"/>
    <n v="65"/>
    <x v="0"/>
    <x v="2"/>
    <s v="Yes"/>
    <s v="Yes  "/>
    <s v="No  "/>
    <x v="0"/>
    <s v="Yes  "/>
    <x v="1"/>
    <s v="No  "/>
    <x v="1"/>
    <x v="0"/>
  </r>
  <r>
    <s v="F.L."/>
    <d v="1942-12-05T00:00:00"/>
    <n v="82"/>
    <x v="0"/>
    <x v="2"/>
    <s v="Yes"/>
    <s v="No  "/>
    <s v="Yes  "/>
    <x v="1"/>
    <s v="Yes  "/>
    <x v="0"/>
    <s v="Yes  "/>
    <x v="0"/>
    <x v="0"/>
  </r>
  <r>
    <s v="U.E."/>
    <d v="1940-08-18T00:00:00"/>
    <n v="84"/>
    <x v="0"/>
    <x v="1"/>
    <s v="Yes"/>
    <s v="Yes  "/>
    <s v="No  "/>
    <x v="1"/>
    <s v="No  "/>
    <x v="0"/>
    <s v="Yes  "/>
    <x v="0"/>
    <x v="0"/>
  </r>
  <r>
    <s v="G.A."/>
    <d v="1941-10-08T00:00:00"/>
    <n v="83"/>
    <x v="0"/>
    <x v="0"/>
    <s v="Yes"/>
    <s v="No  "/>
    <s v="Yes  "/>
    <x v="0"/>
    <s v="Yes  "/>
    <x v="1"/>
    <s v="No  "/>
    <x v="1"/>
    <x v="0"/>
  </r>
  <r>
    <s v="Z.L."/>
    <d v="1987-03-26T00:00:00"/>
    <n v="38"/>
    <x v="4"/>
    <x v="0"/>
    <s v="Yes"/>
    <s v="No  "/>
    <s v="Yes  "/>
    <x v="0"/>
    <s v="No  "/>
    <x v="1"/>
    <s v="Yes  "/>
    <x v="1"/>
    <x v="0"/>
  </r>
  <r>
    <s v="P.Z."/>
    <d v="1973-09-19T00:00:00"/>
    <n v="51"/>
    <x v="3"/>
    <x v="4"/>
    <s v="Yes"/>
    <s v="Yes  "/>
    <s v="No  "/>
    <x v="1"/>
    <s v="Yes  "/>
    <x v="0"/>
    <s v="No  "/>
    <x v="0"/>
    <x v="0"/>
  </r>
  <r>
    <s v="F.K."/>
    <d v="1940-03-31T00:00:00"/>
    <n v="85"/>
    <x v="0"/>
    <x v="0"/>
    <s v="Yes"/>
    <s v="Yes  "/>
    <s v="No  "/>
    <x v="0"/>
    <s v="No  "/>
    <x v="1"/>
    <s v="No  "/>
    <x v="0"/>
    <x v="0"/>
  </r>
  <r>
    <s v="G.G."/>
    <d v="1955-09-13T00:00:00"/>
    <n v="69"/>
    <x v="0"/>
    <x v="1"/>
    <s v="Yes"/>
    <s v="No  "/>
    <s v="Yes  "/>
    <x v="1"/>
    <s v="No  "/>
    <x v="0"/>
    <s v="Yes  "/>
    <x v="1"/>
    <x v="0"/>
  </r>
  <r>
    <s v="R.F."/>
    <d v="1969-05-10T00:00:00"/>
    <n v="56"/>
    <x v="0"/>
    <x v="1"/>
    <s v="Yes"/>
    <s v="Yes  "/>
    <s v="Yes  "/>
    <x v="1"/>
    <s v="Yes  "/>
    <x v="1"/>
    <s v="Yes  "/>
    <x v="0"/>
    <x v="0"/>
  </r>
  <r>
    <s v="I.N."/>
    <d v="2005-11-23T00:00:00"/>
    <n v="19"/>
    <x v="2"/>
    <x v="3"/>
    <s v="Yes"/>
    <s v="Yes  "/>
    <s v="No  "/>
    <x v="0"/>
    <s v="Yes  "/>
    <x v="0"/>
    <s v="No  "/>
    <x v="1"/>
    <x v="0"/>
  </r>
  <r>
    <s v="L.E."/>
    <d v="1986-10-13T00:00:00"/>
    <n v="38"/>
    <x v="4"/>
    <x v="1"/>
    <s v="Yes"/>
    <s v="No  "/>
    <s v="No  "/>
    <x v="1"/>
    <s v="No  "/>
    <x v="1"/>
    <s v="No  "/>
    <x v="1"/>
    <x v="0"/>
  </r>
  <r>
    <s v="B.C."/>
    <d v="1941-12-02T00:00:00"/>
    <n v="83"/>
    <x v="0"/>
    <x v="0"/>
    <s v="Yes"/>
    <s v="No  "/>
    <s v="Yes  "/>
    <x v="0"/>
    <s v="Yes  "/>
    <x v="1"/>
    <s v="Yes  "/>
    <x v="0"/>
    <x v="0"/>
  </r>
  <r>
    <s v="P.G."/>
    <d v="1976-03-14T00:00:00"/>
    <n v="49"/>
    <x v="3"/>
    <x v="4"/>
    <s v="Yes"/>
    <s v="Yes  "/>
    <s v="No  "/>
    <x v="1"/>
    <s v="No  "/>
    <x v="0"/>
    <s v="Yes  "/>
    <x v="1"/>
    <x v="0"/>
  </r>
  <r>
    <s v="U.E."/>
    <d v="1967-03-27T00:00:00"/>
    <n v="58"/>
    <x v="0"/>
    <x v="3"/>
    <s v="Yes"/>
    <s v="No  "/>
    <s v="Yes  "/>
    <x v="0"/>
    <s v="No  "/>
    <x v="0"/>
    <s v="No  "/>
    <x v="0"/>
    <x v="1"/>
  </r>
  <r>
    <s v="D.T."/>
    <d v="1990-01-09T00:00:00"/>
    <n v="35"/>
    <x v="4"/>
    <x v="0"/>
    <s v="Yes"/>
    <s v="Yes  "/>
    <s v="No  "/>
    <x v="1"/>
    <s v="Yes  "/>
    <x v="1"/>
    <s v="Yes  "/>
    <x v="1"/>
    <x v="0"/>
  </r>
  <r>
    <s v="F.I."/>
    <d v="1994-03-02T00:00:00"/>
    <n v="31"/>
    <x v="1"/>
    <x v="4"/>
    <s v="Yes"/>
    <s v="No  "/>
    <s v="Yes  "/>
    <x v="0"/>
    <s v="Yes  "/>
    <x v="0"/>
    <s v="No  "/>
    <x v="1"/>
    <x v="0"/>
  </r>
  <r>
    <s v="B.E."/>
    <d v="1980-04-28T00:00:00"/>
    <n v="45"/>
    <x v="3"/>
    <x v="0"/>
    <s v="Yes"/>
    <s v="Yes  "/>
    <s v="Yes  "/>
    <x v="1"/>
    <s v="No  "/>
    <x v="1"/>
    <s v="Yes  "/>
    <x v="0"/>
    <x v="0"/>
  </r>
  <r>
    <s v="X.V."/>
    <d v="2000-10-24T00:00:00"/>
    <n v="24"/>
    <x v="2"/>
    <x v="3"/>
    <s v="Yes"/>
    <s v="No  "/>
    <s v="No  "/>
    <x v="0"/>
    <s v="Yes  "/>
    <x v="1"/>
    <s v="No  "/>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L.X."/>
    <d v="1958-08-25T00:00:00"/>
    <n v="66"/>
    <s v="55+"/>
    <x v="0"/>
    <s v="Yes"/>
    <s v="Yes"/>
    <s v="Yes"/>
    <s v="No"/>
    <s v="Yes"/>
    <s v="No"/>
    <s v="Yes"/>
    <s v="No"/>
    <s v="No"/>
    <n v="5"/>
  </r>
  <r>
    <s v="J.J."/>
    <d v="1998-03-07T00:00:00"/>
    <n v="27"/>
    <s v="25–34"/>
    <x v="0"/>
    <s v="Yes"/>
    <s v="No"/>
    <s v="No"/>
    <s v="Yes"/>
    <s v="No"/>
    <s v="Yes"/>
    <s v="No"/>
    <s v="Yes"/>
    <s v="No"/>
    <n v="4"/>
  </r>
  <r>
    <s v="M.G."/>
    <d v="1956-04-30T00:00:00"/>
    <n v="69"/>
    <s v="55+"/>
    <x v="1"/>
    <s v="Yes"/>
    <s v="Yes"/>
    <s v="Yes"/>
    <s v="No"/>
    <s v="No"/>
    <s v="Yes"/>
    <s v="No"/>
    <s v="Yes"/>
    <s v="No"/>
    <n v="5"/>
  </r>
  <r>
    <s v="T.N."/>
    <d v="1947-06-16T00:00:00"/>
    <n v="78"/>
    <s v="55+"/>
    <x v="2"/>
    <s v="Yes"/>
    <s v="Yes"/>
    <s v="No"/>
    <s v="Yes"/>
    <s v="Yes"/>
    <s v="No"/>
    <s v="Yes"/>
    <s v="No"/>
    <s v="No"/>
    <n v="5"/>
  </r>
  <r>
    <s v="A.S."/>
    <d v="2005-07-12T00:00:00"/>
    <n v="20"/>
    <s v="&lt;25"/>
    <x v="2"/>
    <s v="Yes"/>
    <s v="No"/>
    <s v="No"/>
    <s v="Yes"/>
    <s v="No"/>
    <s v="Yes"/>
    <s v="Yes"/>
    <s v="Yes"/>
    <s v="No"/>
    <n v="5"/>
  </r>
  <r>
    <s v="L.P."/>
    <d v="1979-06-27T00:00:00"/>
    <n v="46"/>
    <s v="45–54"/>
    <x v="2"/>
    <s v="Yes"/>
    <s v="Yes"/>
    <s v="Yes"/>
    <s v="No"/>
    <s v="Yes"/>
    <s v="No"/>
    <s v="No"/>
    <s v="Yes"/>
    <s v="No"/>
    <n v="5"/>
  </r>
  <r>
    <s v="G.X."/>
    <d v="1997-10-17T00:00:00"/>
    <n v="27"/>
    <s v="25–34"/>
    <x v="0"/>
    <s v="Yes"/>
    <s v="No"/>
    <s v="Yes"/>
    <s v="No"/>
    <s v="No"/>
    <s v="Yes"/>
    <s v="Yes"/>
    <s v="No"/>
    <s v="No"/>
    <n v="4"/>
  </r>
  <r>
    <s v="B.V."/>
    <d v="1990-06-13T00:00:00"/>
    <n v="35"/>
    <s v="35–44"/>
    <x v="3"/>
    <s v="Yes"/>
    <s v="No"/>
    <s v="No"/>
    <s v="Yes"/>
    <s v="Yes"/>
    <s v="Yes"/>
    <s v="No"/>
    <s v="Yes"/>
    <s v="No"/>
    <n v="5"/>
  </r>
  <r>
    <s v="Q.K."/>
    <d v="2000-07-12T00:00:00"/>
    <n v="25"/>
    <s v="25–34"/>
    <x v="0"/>
    <s v="Yes"/>
    <s v="Yes"/>
    <s v="Yes"/>
    <s v="Yes"/>
    <s v="Yes"/>
    <s v="No"/>
    <s v="No"/>
    <s v="No"/>
    <s v="No"/>
    <n v="5"/>
  </r>
  <r>
    <s v="E.O."/>
    <d v="1979-05-08T00:00:00"/>
    <n v="46"/>
    <s v="45–54"/>
    <x v="3"/>
    <s v="Yes"/>
    <s v="Yes"/>
    <s v="No"/>
    <s v="No"/>
    <s v="No"/>
    <s v="No"/>
    <s v="Yes"/>
    <s v="No"/>
    <s v="No"/>
    <n v="3"/>
  </r>
  <r>
    <s v="Q.J."/>
    <d v="1979-02-11T00:00:00"/>
    <n v="46"/>
    <s v="45–54"/>
    <x v="4"/>
    <s v="Yes"/>
    <s v="No"/>
    <s v="No"/>
    <s v="Yes"/>
    <s v="Yes"/>
    <s v="Yes"/>
    <s v="Yes"/>
    <s v="Yes"/>
    <s v="No"/>
    <n v="6"/>
  </r>
  <r>
    <s v="T.R."/>
    <d v="1980-08-01T00:00:00"/>
    <n v="44"/>
    <s v="35–44"/>
    <x v="0"/>
    <s v="Yes"/>
    <s v="Yes"/>
    <s v="Yes"/>
    <s v="No"/>
    <s v="No"/>
    <s v="No"/>
    <s v="No"/>
    <s v="No"/>
    <s v="No"/>
    <n v="3"/>
  </r>
  <r>
    <s v="H.P."/>
    <d v="1999-09-24T00:00:00"/>
    <n v="25"/>
    <s v="25–34"/>
    <x v="0"/>
    <s v="Yes"/>
    <s v="No"/>
    <s v="No"/>
    <s v="Yes"/>
    <s v="No"/>
    <s v="Yes"/>
    <s v="Yes"/>
    <s v="Yes"/>
    <s v="No"/>
    <n v="5"/>
  </r>
  <r>
    <s v="Z.W."/>
    <d v="1980-05-18T00:00:00"/>
    <n v="45"/>
    <s v="45–54"/>
    <x v="0"/>
    <s v="Yes"/>
    <s v="Yes"/>
    <s v="Yes"/>
    <s v="Yes"/>
    <s v="Yes"/>
    <s v="Yes"/>
    <s v="No"/>
    <s v="No"/>
    <s v="No"/>
    <n v="6"/>
  </r>
  <r>
    <s v="M.Z."/>
    <d v="2002-08-20T00:00:00"/>
    <n v="22"/>
    <s v="&lt;25"/>
    <x v="2"/>
    <s v="Yes"/>
    <s v="Yes"/>
    <s v="Yes"/>
    <s v="No"/>
    <s v="Yes"/>
    <s v="No"/>
    <s v="Yes"/>
    <s v="Yes"/>
    <s v="No"/>
    <n v="6"/>
  </r>
  <r>
    <s v="B.M."/>
    <d v="1958-08-19T00:00:00"/>
    <n v="66"/>
    <s v="55+"/>
    <x v="2"/>
    <s v="Yes"/>
    <s v="No"/>
    <s v="No"/>
    <s v="No"/>
    <s v="No"/>
    <s v="No"/>
    <s v="Yes"/>
    <s v="No"/>
    <s v="No"/>
    <n v="2"/>
  </r>
  <r>
    <s v="M.Z."/>
    <d v="1958-03-09T00:00:00"/>
    <n v="67"/>
    <s v="55+"/>
    <x v="3"/>
    <s v="Yes"/>
    <s v="No"/>
    <s v="Yes"/>
    <s v="Yes"/>
    <s v="Yes"/>
    <s v="Yes"/>
    <s v="No"/>
    <s v="Yes"/>
    <s v="No"/>
    <n v="6"/>
  </r>
  <r>
    <s v="U.A."/>
    <d v="1967-07-31T00:00:00"/>
    <n v="57"/>
    <s v="55+"/>
    <x v="3"/>
    <s v="Yes"/>
    <s v="Yes"/>
    <s v="Yes"/>
    <s v="No"/>
    <s v="No"/>
    <s v="Yes"/>
    <s v="No"/>
    <s v="Yes"/>
    <s v="No"/>
    <n v="5"/>
  </r>
  <r>
    <s v="Q.U."/>
    <d v="1948-12-14T00:00:00"/>
    <n v="76"/>
    <s v="55+"/>
    <x v="0"/>
    <s v="Yes"/>
    <s v="No"/>
    <s v="No"/>
    <s v="Yes"/>
    <s v="No"/>
    <s v="No"/>
    <s v="Yes"/>
    <s v="No"/>
    <s v="No"/>
    <n v="3"/>
  </r>
  <r>
    <s v="A.T."/>
    <d v="1992-06-28T00:00:00"/>
    <n v="33"/>
    <s v="25–34"/>
    <x v="3"/>
    <s v="Yes"/>
    <s v="Yes"/>
    <s v="No"/>
    <s v="No"/>
    <s v="Yes"/>
    <s v="Yes"/>
    <s v="Yes"/>
    <s v="Yes"/>
    <s v="No"/>
    <n v="6"/>
  </r>
  <r>
    <s v="N.T."/>
    <d v="1963-06-22T00:00:00"/>
    <n v="62"/>
    <s v="55+"/>
    <x v="2"/>
    <s v="Yes"/>
    <s v="Yes"/>
    <s v="Yes"/>
    <s v="Yes"/>
    <s v="Yes"/>
    <s v="No"/>
    <s v="No"/>
    <s v="No"/>
    <s v="No"/>
    <n v="5"/>
  </r>
  <r>
    <s v="A.N."/>
    <d v="1945-03-05T00:00:00"/>
    <n v="80"/>
    <s v="55+"/>
    <x v="3"/>
    <s v="Yes"/>
    <s v="No"/>
    <s v="No"/>
    <s v="No"/>
    <s v="Yes"/>
    <s v="No"/>
    <s v="Yes"/>
    <s v="Yes"/>
    <s v="No"/>
    <n v="4"/>
  </r>
  <r>
    <s v="G.C."/>
    <d v="1937-04-28T00:00:00"/>
    <n v="88"/>
    <s v="55+"/>
    <x v="4"/>
    <s v="Yes"/>
    <s v="Yes"/>
    <s v="Yes"/>
    <s v="No"/>
    <s v="No"/>
    <s v="Yes"/>
    <s v="No"/>
    <s v="Yes"/>
    <s v="No"/>
    <n v="5"/>
  </r>
  <r>
    <s v="P.X."/>
    <d v="1942-11-06T00:00:00"/>
    <n v="82"/>
    <s v="55+"/>
    <x v="2"/>
    <s v="Yes"/>
    <s v="No"/>
    <s v="No"/>
    <s v="Yes"/>
    <s v="Yes"/>
    <s v="Yes"/>
    <s v="Yes"/>
    <s v="No"/>
    <s v="No"/>
    <n v="5"/>
  </r>
  <r>
    <s v="B.F."/>
    <d v="1961-12-21T00:00:00"/>
    <n v="63"/>
    <s v="55+"/>
    <x v="4"/>
    <s v="Yes"/>
    <s v="No"/>
    <s v="Yes"/>
    <s v="Yes"/>
    <s v="No"/>
    <s v="No"/>
    <s v="No"/>
    <s v="No"/>
    <s v="Yes"/>
    <n v="4"/>
  </r>
  <r>
    <s v="F.L."/>
    <d v="1943-09-13T00:00:00"/>
    <n v="81"/>
    <s v="55+"/>
    <x v="3"/>
    <s v="Yes"/>
    <s v="Yes"/>
    <s v="Yes"/>
    <s v="Yes"/>
    <s v="No"/>
    <s v="Yes"/>
    <s v="No"/>
    <s v="Yes"/>
    <s v="Yes"/>
    <n v="7"/>
  </r>
  <r>
    <s v="M.P."/>
    <d v="1987-09-03T00:00:00"/>
    <n v="37"/>
    <s v="35–44"/>
    <x v="1"/>
    <s v="Yes"/>
    <s v="Yes"/>
    <s v="No"/>
    <s v="No"/>
    <s v="Yes"/>
    <s v="No"/>
    <s v="Yes"/>
    <s v="No"/>
    <s v="No"/>
    <n v="4"/>
  </r>
  <r>
    <s v="L.B."/>
    <d v="1956-01-11T00:00:00"/>
    <n v="69"/>
    <s v="55+"/>
    <x v="0"/>
    <s v="Yes"/>
    <s v="No"/>
    <s v="No"/>
    <s v="Yes"/>
    <s v="No"/>
    <s v="Yes"/>
    <s v="Yes"/>
    <s v="Yes"/>
    <s v="No"/>
    <n v="5"/>
  </r>
  <r>
    <s v="U.W."/>
    <d v="1991-01-13T00:00:00"/>
    <n v="34"/>
    <s v="25–34"/>
    <x v="2"/>
    <s v="Yes"/>
    <s v="Yes"/>
    <s v="Yes"/>
    <s v="No"/>
    <s v="Yes"/>
    <s v="No"/>
    <s v="Yes"/>
    <s v="No"/>
    <s v="No"/>
    <n v="5"/>
  </r>
  <r>
    <s v="K.F."/>
    <d v="1959-06-22T00:00:00"/>
    <n v="66"/>
    <s v="55+"/>
    <x v="4"/>
    <s v="Yes"/>
    <s v="No"/>
    <s v="Yes"/>
    <s v="No"/>
    <s v="Yes"/>
    <s v="Yes"/>
    <s v="No"/>
    <s v="Yes"/>
    <s v="No"/>
    <n v="5"/>
  </r>
  <r>
    <s v="D.G."/>
    <d v="1992-10-04T00:00:00"/>
    <n v="32"/>
    <s v="25–34"/>
    <x v="1"/>
    <s v="Yes"/>
    <s v="No"/>
    <s v="No"/>
    <s v="Yes"/>
    <s v="No"/>
    <s v="Yes"/>
    <s v="No"/>
    <s v="Yes"/>
    <s v="No"/>
    <n v="4"/>
  </r>
  <r>
    <s v="L.B."/>
    <d v="1991-12-21T00:00:00"/>
    <n v="33"/>
    <s v="25–34"/>
    <x v="1"/>
    <s v="Yes"/>
    <s v="Yes"/>
    <s v="Yes"/>
    <s v="Yes"/>
    <s v="No"/>
    <s v="No"/>
    <s v="Yes"/>
    <s v="No"/>
    <s v="No"/>
    <n v="5"/>
  </r>
  <r>
    <s v="R.X."/>
    <d v="1959-09-10T00:00:00"/>
    <n v="65"/>
    <s v="55+"/>
    <x v="2"/>
    <s v="Yes"/>
    <s v="Yes"/>
    <s v="No"/>
    <s v="No"/>
    <s v="Yes"/>
    <s v="Yes"/>
    <s v="No"/>
    <s v="Yes"/>
    <s v="No"/>
    <n v="5"/>
  </r>
  <r>
    <s v="F.L."/>
    <d v="1942-12-05T00:00:00"/>
    <n v="82"/>
    <s v="55+"/>
    <x v="2"/>
    <s v="Yes"/>
    <s v="No"/>
    <s v="Yes"/>
    <s v="Yes"/>
    <s v="Yes"/>
    <s v="No"/>
    <s v="Yes"/>
    <s v="No"/>
    <s v="No"/>
    <n v="5"/>
  </r>
  <r>
    <s v="U.E."/>
    <d v="1940-08-18T00:00:00"/>
    <n v="84"/>
    <s v="55+"/>
    <x v="1"/>
    <s v="Yes"/>
    <s v="Yes"/>
    <s v="No"/>
    <s v="Yes"/>
    <s v="No"/>
    <s v="No"/>
    <s v="Yes"/>
    <s v="No"/>
    <s v="No"/>
    <n v="4"/>
  </r>
  <r>
    <s v="G.A."/>
    <d v="1941-10-08T00:00:00"/>
    <n v="83"/>
    <s v="55+"/>
    <x v="0"/>
    <s v="Yes"/>
    <s v="No"/>
    <s v="Yes"/>
    <s v="No"/>
    <s v="Yes"/>
    <s v="Yes"/>
    <s v="No"/>
    <s v="Yes"/>
    <s v="No"/>
    <n v="5"/>
  </r>
  <r>
    <s v="Z.L."/>
    <d v="1987-03-26T00:00:00"/>
    <n v="38"/>
    <s v="35–44"/>
    <x v="0"/>
    <s v="Yes"/>
    <s v="No"/>
    <s v="Yes"/>
    <s v="No"/>
    <s v="No"/>
    <s v="Yes"/>
    <s v="Yes"/>
    <s v="Yes"/>
    <s v="No"/>
    <n v="5"/>
  </r>
  <r>
    <s v="P.Z."/>
    <d v="1973-09-19T00:00:00"/>
    <n v="51"/>
    <s v="45–54"/>
    <x v="4"/>
    <s v="Yes"/>
    <s v="Yes"/>
    <s v="No"/>
    <s v="Yes"/>
    <s v="Yes"/>
    <s v="No"/>
    <s v="No"/>
    <s v="No"/>
    <s v="No"/>
    <n v="4"/>
  </r>
  <r>
    <s v="F.K."/>
    <d v="1940-03-31T00:00:00"/>
    <n v="85"/>
    <s v="55+"/>
    <x v="0"/>
    <s v="Yes"/>
    <s v="Yes"/>
    <s v="No"/>
    <s v="No"/>
    <s v="No"/>
    <s v="Yes"/>
    <s v="No"/>
    <s v="No"/>
    <s v="No"/>
    <n v="3"/>
  </r>
  <r>
    <s v="G.G."/>
    <d v="1955-09-13T00:00:00"/>
    <n v="69"/>
    <s v="55+"/>
    <x v="1"/>
    <s v="Yes"/>
    <s v="No"/>
    <s v="Yes"/>
    <s v="Yes"/>
    <s v="No"/>
    <s v="No"/>
    <s v="Yes"/>
    <s v="Yes"/>
    <s v="No"/>
    <n v="5"/>
  </r>
  <r>
    <s v="R.F."/>
    <d v="1969-05-10T00:00:00"/>
    <n v="56"/>
    <s v="55+"/>
    <x v="1"/>
    <s v="Yes"/>
    <s v="Yes"/>
    <s v="Yes"/>
    <s v="Yes"/>
    <s v="Yes"/>
    <s v="Yes"/>
    <s v="Yes"/>
    <s v="No"/>
    <s v="No"/>
    <n v="7"/>
  </r>
  <r>
    <s v="I.N."/>
    <d v="2005-11-23T00:00:00"/>
    <n v="19"/>
    <s v="&lt;25"/>
    <x v="3"/>
    <s v="Yes"/>
    <s v="Yes"/>
    <s v="No"/>
    <s v="No"/>
    <s v="Yes"/>
    <s v="No"/>
    <s v="No"/>
    <s v="Yes"/>
    <s v="No"/>
    <n v="4"/>
  </r>
  <r>
    <s v="L.E."/>
    <d v="1986-10-13T00:00:00"/>
    <n v="38"/>
    <s v="35–44"/>
    <x v="1"/>
    <s v="Yes"/>
    <s v="No"/>
    <s v="No"/>
    <s v="Yes"/>
    <s v="No"/>
    <s v="Yes"/>
    <s v="No"/>
    <s v="Yes"/>
    <s v="No"/>
    <n v="4"/>
  </r>
  <r>
    <s v="B.C."/>
    <d v="1941-12-02T00:00:00"/>
    <n v="83"/>
    <s v="55+"/>
    <x v="0"/>
    <s v="Yes"/>
    <s v="No"/>
    <s v="Yes"/>
    <s v="No"/>
    <s v="Yes"/>
    <s v="Yes"/>
    <s v="Yes"/>
    <s v="No"/>
    <s v="No"/>
    <n v="5"/>
  </r>
  <r>
    <s v="P.G."/>
    <d v="1976-03-14T00:00:00"/>
    <n v="49"/>
    <s v="45–54"/>
    <x v="4"/>
    <s v="Yes"/>
    <s v="Yes"/>
    <s v="No"/>
    <s v="Yes"/>
    <s v="No"/>
    <s v="No"/>
    <s v="Yes"/>
    <s v="Yes"/>
    <s v="No"/>
    <n v="5"/>
  </r>
  <r>
    <s v="U.E."/>
    <d v="1967-03-27T00:00:00"/>
    <n v="58"/>
    <s v="55+"/>
    <x v="3"/>
    <s v="Yes"/>
    <s v="No"/>
    <s v="Yes"/>
    <s v="No"/>
    <s v="No"/>
    <s v="No"/>
    <s v="No"/>
    <s v="No"/>
    <s v="Yes"/>
    <n v="3"/>
  </r>
  <r>
    <s v="D.T."/>
    <d v="1990-01-09T00:00:00"/>
    <n v="35"/>
    <s v="35–44"/>
    <x v="0"/>
    <s v="Yes"/>
    <s v="Yes"/>
    <s v="No"/>
    <s v="Yes"/>
    <s v="Yes"/>
    <s v="Yes"/>
    <s v="Yes"/>
    <s v="Yes"/>
    <s v="No"/>
    <n v="7"/>
  </r>
  <r>
    <s v="F.I."/>
    <d v="1994-03-02T00:00:00"/>
    <n v="31"/>
    <s v="25–34"/>
    <x v="4"/>
    <s v="Yes"/>
    <s v="No"/>
    <s v="Yes"/>
    <s v="No"/>
    <s v="Yes"/>
    <s v="No"/>
    <s v="No"/>
    <s v="Yes"/>
    <s v="No"/>
    <n v="4"/>
  </r>
  <r>
    <s v="B.E."/>
    <d v="1980-04-28T00:00:00"/>
    <n v="45"/>
    <s v="45–54"/>
    <x v="0"/>
    <s v="Yes"/>
    <s v="Yes"/>
    <s v="Yes"/>
    <s v="Yes"/>
    <s v="No"/>
    <s v="Yes"/>
    <s v="Yes"/>
    <s v="No"/>
    <s v="No"/>
    <n v="6"/>
  </r>
  <r>
    <s v="X.V."/>
    <d v="2000-10-24T00:00:00"/>
    <n v="24"/>
    <s v="&lt;25"/>
    <x v="3"/>
    <s v="Yes"/>
    <s v="No"/>
    <s v="No"/>
    <s v="No"/>
    <s v="Yes"/>
    <s v="Yes"/>
    <s v="No"/>
    <s v="No"/>
    <s v="No"/>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2A92C6-2A6C-4A6E-8A65-972B2AC015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I9" firstHeaderRow="0" firstDataRow="1" firstDataCol="1" rowPageCount="1" colPageCount="1"/>
  <pivotFields count="14">
    <pivotField showAll="0"/>
    <pivotField numFmtId="14" showAll="0"/>
    <pivotField showAll="0"/>
    <pivotField showAll="0">
      <items count="6">
        <item x="2"/>
        <item x="1"/>
        <item x="4"/>
        <item x="3"/>
        <item x="0"/>
        <item t="default"/>
      </items>
    </pivotField>
    <pivotField axis="axisRow" showAll="0">
      <items count="6">
        <item x="0"/>
        <item x="3"/>
        <item x="1"/>
        <item x="2"/>
        <item x="4"/>
        <item t="default"/>
      </items>
    </pivotField>
    <pivotField dataField="1" showAll="0"/>
    <pivotField dataField="1" showAll="0"/>
    <pivotField dataField="1" showAll="0"/>
    <pivotField axis="axisPage" dataField="1" multipleItemSelectionAllowed="1" showAll="0">
      <items count="3">
        <item h="1" x="0"/>
        <item x="1"/>
        <item t="default"/>
      </items>
    </pivotField>
    <pivotField dataField="1" showAll="0"/>
    <pivotField dataField="1" showAll="0"/>
    <pivotField dataField="1" showAll="0"/>
    <pivotField dataField="1" showAll="0"/>
    <pivotField showAll="0"/>
  </pivotFields>
  <rowFields count="1">
    <field x="4"/>
  </rowFields>
  <rowItems count="6">
    <i>
      <x/>
    </i>
    <i>
      <x v="1"/>
    </i>
    <i>
      <x v="2"/>
    </i>
    <i>
      <x v="3"/>
    </i>
    <i>
      <x v="4"/>
    </i>
    <i t="grand">
      <x/>
    </i>
  </rowItems>
  <colFields count="1">
    <field x="-2"/>
  </colFields>
  <colItems count="8">
    <i>
      <x/>
    </i>
    <i i="1">
      <x v="1"/>
    </i>
    <i i="2">
      <x v="2"/>
    </i>
    <i i="3">
      <x v="3"/>
    </i>
    <i i="4">
      <x v="4"/>
    </i>
    <i i="5">
      <x v="5"/>
    </i>
    <i i="6">
      <x v="6"/>
    </i>
    <i i="7">
      <x v="7"/>
    </i>
  </colItems>
  <pageFields count="1">
    <pageField fld="8" hier="-1"/>
  </pageFields>
  <dataFields count="8">
    <dataField name="Physicals" fld="7" subtotal="count" baseField="4" baseItem="0"/>
    <dataField name="History Forms" fld="6" subtotal="count" baseField="4" baseItem="0"/>
    <dataField name="Labs" fld="8" subtotal="count" baseField="4" baseItem="0"/>
    <dataField name="Diagnostic Tests" fld="9" subtotal="count" baseField="4" baseItem="0"/>
    <dataField name="Follow Up Appointments" fld="12" subtotal="count" baseField="4" baseItem="0"/>
    <dataField name="Consent Forms" fld="5" subtotal="count" baseField="4" baseItem="0"/>
    <dataField name="Education" fld="10" subtotal="count" baseField="4" baseItem="0"/>
    <dataField name="Treatment Plan" fld="11" subtotal="count" baseField="4" baseItem="0"/>
  </dataFields>
  <chartFormats count="16">
    <chartFormat chart="0" format="0" series="1">
      <pivotArea type="data" outline="0" fieldPosition="0">
        <references count="1">
          <reference field="4294967294" count="1" selected="0">
            <x v="3"/>
          </reference>
        </references>
      </pivotArea>
    </chartFormat>
    <chartFormat chart="0" format="1" series="1">
      <pivotArea type="data" outline="0" fieldPosition="0">
        <references count="1">
          <reference field="4294967294" count="1" selected="0">
            <x v="4"/>
          </reference>
        </references>
      </pivotArea>
    </chartFormat>
    <chartFormat chart="0" format="2" series="1">
      <pivotArea type="data" outline="0" fieldPosition="0">
        <references count="1">
          <reference field="4294967294" count="1" selected="0">
            <x v="5"/>
          </reference>
        </references>
      </pivotArea>
    </chartFormat>
    <chartFormat chart="0" format="3" series="1">
      <pivotArea type="data" outline="0" fieldPosition="0">
        <references count="1">
          <reference field="4294967294" count="1" selected="0">
            <x v="6"/>
          </reference>
        </references>
      </pivotArea>
    </chartFormat>
    <chartFormat chart="0" format="4" series="1">
      <pivotArea type="data" outline="0" fieldPosition="0">
        <references count="1">
          <reference field="4294967294" count="1" selected="0">
            <x v="7"/>
          </reference>
        </references>
      </pivotArea>
    </chartFormat>
    <chartFormat chart="0" format="5" series="1">
      <pivotArea type="data" outline="0" fieldPosition="0">
        <references count="1">
          <reference field="4294967294" count="1" selected="0">
            <x v="2"/>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7" format="16"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1"/>
          </reference>
        </references>
      </pivotArea>
    </chartFormat>
    <chartFormat chart="7" format="18" series="1">
      <pivotArea type="data" outline="0" fieldPosition="0">
        <references count="1">
          <reference field="4294967294" count="1" selected="0">
            <x v="2"/>
          </reference>
        </references>
      </pivotArea>
    </chartFormat>
    <chartFormat chart="7" format="19" series="1">
      <pivotArea type="data" outline="0" fieldPosition="0">
        <references count="1">
          <reference field="4294967294" count="1" selected="0">
            <x v="3"/>
          </reference>
        </references>
      </pivotArea>
    </chartFormat>
    <chartFormat chart="7" format="20" series="1">
      <pivotArea type="data" outline="0" fieldPosition="0">
        <references count="1">
          <reference field="4294967294" count="1" selected="0">
            <x v="4"/>
          </reference>
        </references>
      </pivotArea>
    </chartFormat>
    <chartFormat chart="7" format="21" series="1">
      <pivotArea type="data" outline="0" fieldPosition="0">
        <references count="1">
          <reference field="4294967294" count="1" selected="0">
            <x v="5"/>
          </reference>
        </references>
      </pivotArea>
    </chartFormat>
    <chartFormat chart="7" format="22" series="1">
      <pivotArea type="data" outline="0" fieldPosition="0">
        <references count="1">
          <reference field="4294967294" count="1" selected="0">
            <x v="6"/>
          </reference>
        </references>
      </pivotArea>
    </chartFormat>
    <chartFormat chart="7" format="23"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44C7C2-AB62-4D4A-9955-1483BCFAC4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I9" firstHeaderRow="0" firstDataRow="1" firstDataCol="1" rowPageCount="1" colPageCount="1"/>
  <pivotFields count="14">
    <pivotField showAll="0"/>
    <pivotField numFmtId="14" showAll="0"/>
    <pivotField showAll="0"/>
    <pivotField showAll="0"/>
    <pivotField axis="axisRow" showAll="0">
      <items count="6">
        <item x="0"/>
        <item x="3"/>
        <item x="1"/>
        <item x="2"/>
        <item x="4"/>
        <item t="default"/>
      </items>
    </pivotField>
    <pivotField dataField="1" showAll="0"/>
    <pivotField dataField="1" showAll="0"/>
    <pivotField dataField="1" showAll="0"/>
    <pivotField axis="axisPage" dataField="1" showAll="0">
      <items count="3">
        <item x="0"/>
        <item x="1"/>
        <item t="default"/>
      </items>
    </pivotField>
    <pivotField dataField="1" showAll="0"/>
    <pivotField dataField="1" showAll="0"/>
    <pivotField dataField="1" showAll="0"/>
    <pivotField dataField="1" showAll="0"/>
    <pivotField showAll="0"/>
  </pivotFields>
  <rowFields count="1">
    <field x="4"/>
  </rowFields>
  <rowItems count="6">
    <i>
      <x/>
    </i>
    <i>
      <x v="1"/>
    </i>
    <i>
      <x v="2"/>
    </i>
    <i>
      <x v="3"/>
    </i>
    <i>
      <x v="4"/>
    </i>
    <i t="grand">
      <x/>
    </i>
  </rowItems>
  <colFields count="1">
    <field x="-2"/>
  </colFields>
  <colItems count="8">
    <i>
      <x/>
    </i>
    <i i="1">
      <x v="1"/>
    </i>
    <i i="2">
      <x v="2"/>
    </i>
    <i i="3">
      <x v="3"/>
    </i>
    <i i="4">
      <x v="4"/>
    </i>
    <i i="5">
      <x v="5"/>
    </i>
    <i i="6">
      <x v="6"/>
    </i>
    <i i="7">
      <x v="7"/>
    </i>
  </colItems>
  <pageFields count="1">
    <pageField fld="8" item="0" hier="-1"/>
  </pageFields>
  <dataFields count="8">
    <dataField name="Count of Diagnostic Test Completed" fld="9" subtotal="count" baseField="0" baseItem="0"/>
    <dataField name="Count of Follow Up Appointments Provided" fld="12" subtotal="count" baseField="0" baseItem="0"/>
    <dataField name="Count of Treatment Plan Completed" fld="11" subtotal="count" baseField="0" baseItem="0"/>
    <dataField name="Count of Education Provided" fld="10" subtotal="count" baseField="0" baseItem="0"/>
    <dataField name="Count of Consent Completed" fld="5" subtotal="count" baseField="0" baseItem="0"/>
    <dataField name="Count of Labs Completed" fld="8" subtotal="count" baseField="0" baseItem="0"/>
    <dataField name="Count of Physical Completed" fld="7" subtotal="count" baseField="0" baseItem="0"/>
    <dataField name="Count of History Completed" fld="6" subtotal="count" baseField="0" baseItem="0"/>
  </dataFields>
  <chartFormats count="10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2" format="6" series="1">
      <pivotArea type="data" outline="0" fieldPosition="0">
        <references count="1">
          <reference field="4294967294" count="1" selected="0">
            <x v="6"/>
          </reference>
        </references>
      </pivotArea>
    </chartFormat>
    <chartFormat chart="2" format="7" series="1">
      <pivotArea type="data" outline="0" fieldPosition="0">
        <references count="1">
          <reference field="4294967294" count="1" selected="0">
            <x v="7"/>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5"/>
          </reference>
        </references>
      </pivotArea>
    </chartFormat>
    <chartFormat chart="3" format="6" series="1">
      <pivotArea type="data" outline="0" fieldPosition="0">
        <references count="1">
          <reference field="4294967294" count="1" selected="0">
            <x v="6"/>
          </reference>
        </references>
      </pivotArea>
    </chartFormat>
    <chartFormat chart="3" format="7" series="1">
      <pivotArea type="data" outline="0" fieldPosition="0">
        <references count="1">
          <reference field="4294967294" count="1" selected="0">
            <x v="7"/>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 chart="3" format="13">
      <pivotArea type="data" outline="0" fieldPosition="0">
        <references count="2">
          <reference field="4294967294" count="1" selected="0">
            <x v="1"/>
          </reference>
          <reference field="4" count="1" selected="0">
            <x v="0"/>
          </reference>
        </references>
      </pivotArea>
    </chartFormat>
    <chartFormat chart="3" format="14">
      <pivotArea type="data" outline="0" fieldPosition="0">
        <references count="2">
          <reference field="4294967294" count="1" selected="0">
            <x v="1"/>
          </reference>
          <reference field="4" count="1" selected="0">
            <x v="1"/>
          </reference>
        </references>
      </pivotArea>
    </chartFormat>
    <chartFormat chart="3" format="15">
      <pivotArea type="data" outline="0" fieldPosition="0">
        <references count="2">
          <reference field="4294967294" count="1" selected="0">
            <x v="1"/>
          </reference>
          <reference field="4" count="1" selected="0">
            <x v="2"/>
          </reference>
        </references>
      </pivotArea>
    </chartFormat>
    <chartFormat chart="3" format="16">
      <pivotArea type="data" outline="0" fieldPosition="0">
        <references count="2">
          <reference field="4294967294" count="1" selected="0">
            <x v="1"/>
          </reference>
          <reference field="4" count="1" selected="0">
            <x v="3"/>
          </reference>
        </references>
      </pivotArea>
    </chartFormat>
    <chartFormat chart="3" format="17">
      <pivotArea type="data" outline="0" fieldPosition="0">
        <references count="2">
          <reference field="4294967294" count="1" selected="0">
            <x v="1"/>
          </reference>
          <reference field="4" count="1" selected="0">
            <x v="4"/>
          </reference>
        </references>
      </pivotArea>
    </chartFormat>
    <chartFormat chart="3" format="18">
      <pivotArea type="data" outline="0" fieldPosition="0">
        <references count="2">
          <reference field="4294967294" count="1" selected="0">
            <x v="2"/>
          </reference>
          <reference field="4" count="1" selected="0">
            <x v="0"/>
          </reference>
        </references>
      </pivotArea>
    </chartFormat>
    <chartFormat chart="3" format="19">
      <pivotArea type="data" outline="0" fieldPosition="0">
        <references count="2">
          <reference field="4294967294" count="1" selected="0">
            <x v="2"/>
          </reference>
          <reference field="4" count="1" selected="0">
            <x v="1"/>
          </reference>
        </references>
      </pivotArea>
    </chartFormat>
    <chartFormat chart="3" format="20">
      <pivotArea type="data" outline="0" fieldPosition="0">
        <references count="2">
          <reference field="4294967294" count="1" selected="0">
            <x v="2"/>
          </reference>
          <reference field="4" count="1" selected="0">
            <x v="2"/>
          </reference>
        </references>
      </pivotArea>
    </chartFormat>
    <chartFormat chart="3" format="21">
      <pivotArea type="data" outline="0" fieldPosition="0">
        <references count="2">
          <reference field="4294967294" count="1" selected="0">
            <x v="2"/>
          </reference>
          <reference field="4" count="1" selected="0">
            <x v="3"/>
          </reference>
        </references>
      </pivotArea>
    </chartFormat>
    <chartFormat chart="3" format="22">
      <pivotArea type="data" outline="0" fieldPosition="0">
        <references count="2">
          <reference field="4294967294" count="1" selected="0">
            <x v="2"/>
          </reference>
          <reference field="4" count="1" selected="0">
            <x v="4"/>
          </reference>
        </references>
      </pivotArea>
    </chartFormat>
    <chartFormat chart="3" format="23">
      <pivotArea type="data" outline="0" fieldPosition="0">
        <references count="2">
          <reference field="4294967294" count="1" selected="0">
            <x v="3"/>
          </reference>
          <reference field="4" count="1" selected="0">
            <x v="0"/>
          </reference>
        </references>
      </pivotArea>
    </chartFormat>
    <chartFormat chart="3" format="24">
      <pivotArea type="data" outline="0" fieldPosition="0">
        <references count="2">
          <reference field="4294967294" count="1" selected="0">
            <x v="3"/>
          </reference>
          <reference field="4" count="1" selected="0">
            <x v="1"/>
          </reference>
        </references>
      </pivotArea>
    </chartFormat>
    <chartFormat chart="3" format="25">
      <pivotArea type="data" outline="0" fieldPosition="0">
        <references count="2">
          <reference field="4294967294" count="1" selected="0">
            <x v="3"/>
          </reference>
          <reference field="4" count="1" selected="0">
            <x v="2"/>
          </reference>
        </references>
      </pivotArea>
    </chartFormat>
    <chartFormat chart="3" format="26">
      <pivotArea type="data" outline="0" fieldPosition="0">
        <references count="2">
          <reference field="4294967294" count="1" selected="0">
            <x v="3"/>
          </reference>
          <reference field="4" count="1" selected="0">
            <x v="3"/>
          </reference>
        </references>
      </pivotArea>
    </chartFormat>
    <chartFormat chart="3" format="27">
      <pivotArea type="data" outline="0" fieldPosition="0">
        <references count="2">
          <reference field="4294967294" count="1" selected="0">
            <x v="3"/>
          </reference>
          <reference field="4" count="1" selected="0">
            <x v="4"/>
          </reference>
        </references>
      </pivotArea>
    </chartFormat>
    <chartFormat chart="3" format="28">
      <pivotArea type="data" outline="0" fieldPosition="0">
        <references count="2">
          <reference field="4294967294" count="1" selected="0">
            <x v="4"/>
          </reference>
          <reference field="4" count="1" selected="0">
            <x v="0"/>
          </reference>
        </references>
      </pivotArea>
    </chartFormat>
    <chartFormat chart="3" format="29">
      <pivotArea type="data" outline="0" fieldPosition="0">
        <references count="2">
          <reference field="4294967294" count="1" selected="0">
            <x v="4"/>
          </reference>
          <reference field="4" count="1" selected="0">
            <x v="1"/>
          </reference>
        </references>
      </pivotArea>
    </chartFormat>
    <chartFormat chart="3" format="30">
      <pivotArea type="data" outline="0" fieldPosition="0">
        <references count="2">
          <reference field="4294967294" count="1" selected="0">
            <x v="4"/>
          </reference>
          <reference field="4" count="1" selected="0">
            <x v="2"/>
          </reference>
        </references>
      </pivotArea>
    </chartFormat>
    <chartFormat chart="3" format="31">
      <pivotArea type="data" outline="0" fieldPosition="0">
        <references count="2">
          <reference field="4294967294" count="1" selected="0">
            <x v="4"/>
          </reference>
          <reference field="4" count="1" selected="0">
            <x v="3"/>
          </reference>
        </references>
      </pivotArea>
    </chartFormat>
    <chartFormat chart="3" format="32">
      <pivotArea type="data" outline="0" fieldPosition="0">
        <references count="2">
          <reference field="4294967294" count="1" selected="0">
            <x v="4"/>
          </reference>
          <reference field="4" count="1" selected="0">
            <x v="4"/>
          </reference>
        </references>
      </pivotArea>
    </chartFormat>
    <chartFormat chart="3" format="33">
      <pivotArea type="data" outline="0" fieldPosition="0">
        <references count="2">
          <reference field="4294967294" count="1" selected="0">
            <x v="5"/>
          </reference>
          <reference field="4" count="1" selected="0">
            <x v="0"/>
          </reference>
        </references>
      </pivotArea>
    </chartFormat>
    <chartFormat chart="3" format="34">
      <pivotArea type="data" outline="0" fieldPosition="0">
        <references count="2">
          <reference field="4294967294" count="1" selected="0">
            <x v="5"/>
          </reference>
          <reference field="4" count="1" selected="0">
            <x v="1"/>
          </reference>
        </references>
      </pivotArea>
    </chartFormat>
    <chartFormat chart="3" format="35">
      <pivotArea type="data" outline="0" fieldPosition="0">
        <references count="2">
          <reference field="4294967294" count="1" selected="0">
            <x v="5"/>
          </reference>
          <reference field="4" count="1" selected="0">
            <x v="2"/>
          </reference>
        </references>
      </pivotArea>
    </chartFormat>
    <chartFormat chart="3" format="36">
      <pivotArea type="data" outline="0" fieldPosition="0">
        <references count="2">
          <reference field="4294967294" count="1" selected="0">
            <x v="5"/>
          </reference>
          <reference field="4" count="1" selected="0">
            <x v="3"/>
          </reference>
        </references>
      </pivotArea>
    </chartFormat>
    <chartFormat chart="3" format="37">
      <pivotArea type="data" outline="0" fieldPosition="0">
        <references count="2">
          <reference field="4294967294" count="1" selected="0">
            <x v="5"/>
          </reference>
          <reference field="4" count="1" selected="0">
            <x v="4"/>
          </reference>
        </references>
      </pivotArea>
    </chartFormat>
    <chartFormat chart="3" format="38">
      <pivotArea type="data" outline="0" fieldPosition="0">
        <references count="2">
          <reference field="4294967294" count="1" selected="0">
            <x v="6"/>
          </reference>
          <reference field="4" count="1" selected="0">
            <x v="0"/>
          </reference>
        </references>
      </pivotArea>
    </chartFormat>
    <chartFormat chart="3" format="39">
      <pivotArea type="data" outline="0" fieldPosition="0">
        <references count="2">
          <reference field="4294967294" count="1" selected="0">
            <x v="6"/>
          </reference>
          <reference field="4" count="1" selected="0">
            <x v="1"/>
          </reference>
        </references>
      </pivotArea>
    </chartFormat>
    <chartFormat chart="3" format="40">
      <pivotArea type="data" outline="0" fieldPosition="0">
        <references count="2">
          <reference field="4294967294" count="1" selected="0">
            <x v="6"/>
          </reference>
          <reference field="4" count="1" selected="0">
            <x v="2"/>
          </reference>
        </references>
      </pivotArea>
    </chartFormat>
    <chartFormat chart="3" format="41">
      <pivotArea type="data" outline="0" fieldPosition="0">
        <references count="2">
          <reference field="4294967294" count="1" selected="0">
            <x v="6"/>
          </reference>
          <reference field="4" count="1" selected="0">
            <x v="3"/>
          </reference>
        </references>
      </pivotArea>
    </chartFormat>
    <chartFormat chart="3" format="42">
      <pivotArea type="data" outline="0" fieldPosition="0">
        <references count="2">
          <reference field="4294967294" count="1" selected="0">
            <x v="6"/>
          </reference>
          <reference field="4" count="1" selected="0">
            <x v="4"/>
          </reference>
        </references>
      </pivotArea>
    </chartFormat>
    <chartFormat chart="3" format="43">
      <pivotArea type="data" outline="0" fieldPosition="0">
        <references count="2">
          <reference field="4294967294" count="1" selected="0">
            <x v="7"/>
          </reference>
          <reference field="4" count="1" selected="0">
            <x v="0"/>
          </reference>
        </references>
      </pivotArea>
    </chartFormat>
    <chartFormat chart="3" format="44">
      <pivotArea type="data" outline="0" fieldPosition="0">
        <references count="2">
          <reference field="4294967294" count="1" selected="0">
            <x v="7"/>
          </reference>
          <reference field="4" count="1" selected="0">
            <x v="1"/>
          </reference>
        </references>
      </pivotArea>
    </chartFormat>
    <chartFormat chart="3" format="45">
      <pivotArea type="data" outline="0" fieldPosition="0">
        <references count="2">
          <reference field="4294967294" count="1" selected="0">
            <x v="7"/>
          </reference>
          <reference field="4" count="1" selected="0">
            <x v="2"/>
          </reference>
        </references>
      </pivotArea>
    </chartFormat>
    <chartFormat chart="3" format="46">
      <pivotArea type="data" outline="0" fieldPosition="0">
        <references count="2">
          <reference field="4294967294" count="1" selected="0">
            <x v="7"/>
          </reference>
          <reference field="4" count="1" selected="0">
            <x v="3"/>
          </reference>
        </references>
      </pivotArea>
    </chartFormat>
    <chartFormat chart="3" format="47">
      <pivotArea type="data" outline="0" fieldPosition="0">
        <references count="2">
          <reference field="4294967294" count="1" selected="0">
            <x v="7"/>
          </reference>
          <reference field="4" count="1" selected="0">
            <x v="4"/>
          </reference>
        </references>
      </pivotArea>
    </chartFormat>
    <chartFormat chart="7" format="96" series="1">
      <pivotArea type="data" outline="0" fieldPosition="0">
        <references count="1">
          <reference field="4294967294" count="1" selected="0">
            <x v="0"/>
          </reference>
        </references>
      </pivotArea>
    </chartFormat>
    <chartFormat chart="7" format="97">
      <pivotArea type="data" outline="0" fieldPosition="0">
        <references count="2">
          <reference field="4294967294" count="1" selected="0">
            <x v="0"/>
          </reference>
          <reference field="4" count="1" selected="0">
            <x v="0"/>
          </reference>
        </references>
      </pivotArea>
    </chartFormat>
    <chartFormat chart="7" format="98">
      <pivotArea type="data" outline="0" fieldPosition="0">
        <references count="2">
          <reference field="4294967294" count="1" selected="0">
            <x v="0"/>
          </reference>
          <reference field="4" count="1" selected="0">
            <x v="1"/>
          </reference>
        </references>
      </pivotArea>
    </chartFormat>
    <chartFormat chart="7" format="99">
      <pivotArea type="data" outline="0" fieldPosition="0">
        <references count="2">
          <reference field="4294967294" count="1" selected="0">
            <x v="0"/>
          </reference>
          <reference field="4" count="1" selected="0">
            <x v="2"/>
          </reference>
        </references>
      </pivotArea>
    </chartFormat>
    <chartFormat chart="7" format="100">
      <pivotArea type="data" outline="0" fieldPosition="0">
        <references count="2">
          <reference field="4294967294" count="1" selected="0">
            <x v="0"/>
          </reference>
          <reference field="4" count="1" selected="0">
            <x v="3"/>
          </reference>
        </references>
      </pivotArea>
    </chartFormat>
    <chartFormat chart="7" format="101">
      <pivotArea type="data" outline="0" fieldPosition="0">
        <references count="2">
          <reference field="4294967294" count="1" selected="0">
            <x v="0"/>
          </reference>
          <reference field="4" count="1" selected="0">
            <x v="4"/>
          </reference>
        </references>
      </pivotArea>
    </chartFormat>
    <chartFormat chart="7" format="102" series="1">
      <pivotArea type="data" outline="0" fieldPosition="0">
        <references count="1">
          <reference field="4294967294" count="1" selected="0">
            <x v="1"/>
          </reference>
        </references>
      </pivotArea>
    </chartFormat>
    <chartFormat chart="7" format="103">
      <pivotArea type="data" outline="0" fieldPosition="0">
        <references count="2">
          <reference field="4294967294" count="1" selected="0">
            <x v="1"/>
          </reference>
          <reference field="4" count="1" selected="0">
            <x v="0"/>
          </reference>
        </references>
      </pivotArea>
    </chartFormat>
    <chartFormat chart="7" format="104">
      <pivotArea type="data" outline="0" fieldPosition="0">
        <references count="2">
          <reference field="4294967294" count="1" selected="0">
            <x v="1"/>
          </reference>
          <reference field="4" count="1" selected="0">
            <x v="1"/>
          </reference>
        </references>
      </pivotArea>
    </chartFormat>
    <chartFormat chart="7" format="105">
      <pivotArea type="data" outline="0" fieldPosition="0">
        <references count="2">
          <reference field="4294967294" count="1" selected="0">
            <x v="1"/>
          </reference>
          <reference field="4" count="1" selected="0">
            <x v="2"/>
          </reference>
        </references>
      </pivotArea>
    </chartFormat>
    <chartFormat chart="7" format="106">
      <pivotArea type="data" outline="0" fieldPosition="0">
        <references count="2">
          <reference field="4294967294" count="1" selected="0">
            <x v="1"/>
          </reference>
          <reference field="4" count="1" selected="0">
            <x v="3"/>
          </reference>
        </references>
      </pivotArea>
    </chartFormat>
    <chartFormat chart="7" format="107">
      <pivotArea type="data" outline="0" fieldPosition="0">
        <references count="2">
          <reference field="4294967294" count="1" selected="0">
            <x v="1"/>
          </reference>
          <reference field="4" count="1" selected="0">
            <x v="4"/>
          </reference>
        </references>
      </pivotArea>
    </chartFormat>
    <chartFormat chart="7" format="108" series="1">
      <pivotArea type="data" outline="0" fieldPosition="0">
        <references count="1">
          <reference field="4294967294" count="1" selected="0">
            <x v="2"/>
          </reference>
        </references>
      </pivotArea>
    </chartFormat>
    <chartFormat chart="7" format="109">
      <pivotArea type="data" outline="0" fieldPosition="0">
        <references count="2">
          <reference field="4294967294" count="1" selected="0">
            <x v="2"/>
          </reference>
          <reference field="4" count="1" selected="0">
            <x v="0"/>
          </reference>
        </references>
      </pivotArea>
    </chartFormat>
    <chartFormat chart="7" format="110">
      <pivotArea type="data" outline="0" fieldPosition="0">
        <references count="2">
          <reference field="4294967294" count="1" selected="0">
            <x v="2"/>
          </reference>
          <reference field="4" count="1" selected="0">
            <x v="1"/>
          </reference>
        </references>
      </pivotArea>
    </chartFormat>
    <chartFormat chart="7" format="111">
      <pivotArea type="data" outline="0" fieldPosition="0">
        <references count="2">
          <reference field="4294967294" count="1" selected="0">
            <x v="2"/>
          </reference>
          <reference field="4" count="1" selected="0">
            <x v="2"/>
          </reference>
        </references>
      </pivotArea>
    </chartFormat>
    <chartFormat chart="7" format="112">
      <pivotArea type="data" outline="0" fieldPosition="0">
        <references count="2">
          <reference field="4294967294" count="1" selected="0">
            <x v="2"/>
          </reference>
          <reference field="4" count="1" selected="0">
            <x v="3"/>
          </reference>
        </references>
      </pivotArea>
    </chartFormat>
    <chartFormat chart="7" format="113">
      <pivotArea type="data" outline="0" fieldPosition="0">
        <references count="2">
          <reference field="4294967294" count="1" selected="0">
            <x v="2"/>
          </reference>
          <reference field="4" count="1" selected="0">
            <x v="4"/>
          </reference>
        </references>
      </pivotArea>
    </chartFormat>
    <chartFormat chart="7" format="114" series="1">
      <pivotArea type="data" outline="0" fieldPosition="0">
        <references count="1">
          <reference field="4294967294" count="1" selected="0">
            <x v="3"/>
          </reference>
        </references>
      </pivotArea>
    </chartFormat>
    <chartFormat chart="7" format="115">
      <pivotArea type="data" outline="0" fieldPosition="0">
        <references count="2">
          <reference field="4294967294" count="1" selected="0">
            <x v="3"/>
          </reference>
          <reference field="4" count="1" selected="0">
            <x v="0"/>
          </reference>
        </references>
      </pivotArea>
    </chartFormat>
    <chartFormat chart="7" format="116">
      <pivotArea type="data" outline="0" fieldPosition="0">
        <references count="2">
          <reference field="4294967294" count="1" selected="0">
            <x v="3"/>
          </reference>
          <reference field="4" count="1" selected="0">
            <x v="1"/>
          </reference>
        </references>
      </pivotArea>
    </chartFormat>
    <chartFormat chart="7" format="117">
      <pivotArea type="data" outline="0" fieldPosition="0">
        <references count="2">
          <reference field="4294967294" count="1" selected="0">
            <x v="3"/>
          </reference>
          <reference field="4" count="1" selected="0">
            <x v="2"/>
          </reference>
        </references>
      </pivotArea>
    </chartFormat>
    <chartFormat chart="7" format="118">
      <pivotArea type="data" outline="0" fieldPosition="0">
        <references count="2">
          <reference field="4294967294" count="1" selected="0">
            <x v="3"/>
          </reference>
          <reference field="4" count="1" selected="0">
            <x v="3"/>
          </reference>
        </references>
      </pivotArea>
    </chartFormat>
    <chartFormat chart="7" format="119">
      <pivotArea type="data" outline="0" fieldPosition="0">
        <references count="2">
          <reference field="4294967294" count="1" selected="0">
            <x v="3"/>
          </reference>
          <reference field="4" count="1" selected="0">
            <x v="4"/>
          </reference>
        </references>
      </pivotArea>
    </chartFormat>
    <chartFormat chart="7" format="120" series="1">
      <pivotArea type="data" outline="0" fieldPosition="0">
        <references count="1">
          <reference field="4294967294" count="1" selected="0">
            <x v="4"/>
          </reference>
        </references>
      </pivotArea>
    </chartFormat>
    <chartFormat chart="7" format="121">
      <pivotArea type="data" outline="0" fieldPosition="0">
        <references count="2">
          <reference field="4294967294" count="1" selected="0">
            <x v="4"/>
          </reference>
          <reference field="4" count="1" selected="0">
            <x v="0"/>
          </reference>
        </references>
      </pivotArea>
    </chartFormat>
    <chartFormat chart="7" format="122">
      <pivotArea type="data" outline="0" fieldPosition="0">
        <references count="2">
          <reference field="4294967294" count="1" selected="0">
            <x v="4"/>
          </reference>
          <reference field="4" count="1" selected="0">
            <x v="1"/>
          </reference>
        </references>
      </pivotArea>
    </chartFormat>
    <chartFormat chart="7" format="123">
      <pivotArea type="data" outline="0" fieldPosition="0">
        <references count="2">
          <reference field="4294967294" count="1" selected="0">
            <x v="4"/>
          </reference>
          <reference field="4" count="1" selected="0">
            <x v="2"/>
          </reference>
        </references>
      </pivotArea>
    </chartFormat>
    <chartFormat chart="7" format="124">
      <pivotArea type="data" outline="0" fieldPosition="0">
        <references count="2">
          <reference field="4294967294" count="1" selected="0">
            <x v="4"/>
          </reference>
          <reference field="4" count="1" selected="0">
            <x v="3"/>
          </reference>
        </references>
      </pivotArea>
    </chartFormat>
    <chartFormat chart="7" format="125">
      <pivotArea type="data" outline="0" fieldPosition="0">
        <references count="2">
          <reference field="4294967294" count="1" selected="0">
            <x v="4"/>
          </reference>
          <reference field="4" count="1" selected="0">
            <x v="4"/>
          </reference>
        </references>
      </pivotArea>
    </chartFormat>
    <chartFormat chart="7" format="126" series="1">
      <pivotArea type="data" outline="0" fieldPosition="0">
        <references count="1">
          <reference field="4294967294" count="1" selected="0">
            <x v="5"/>
          </reference>
        </references>
      </pivotArea>
    </chartFormat>
    <chartFormat chart="7" format="127">
      <pivotArea type="data" outline="0" fieldPosition="0">
        <references count="2">
          <reference field="4294967294" count="1" selected="0">
            <x v="5"/>
          </reference>
          <reference field="4" count="1" selected="0">
            <x v="0"/>
          </reference>
        </references>
      </pivotArea>
    </chartFormat>
    <chartFormat chart="7" format="128">
      <pivotArea type="data" outline="0" fieldPosition="0">
        <references count="2">
          <reference field="4294967294" count="1" selected="0">
            <x v="5"/>
          </reference>
          <reference field="4" count="1" selected="0">
            <x v="1"/>
          </reference>
        </references>
      </pivotArea>
    </chartFormat>
    <chartFormat chart="7" format="129">
      <pivotArea type="data" outline="0" fieldPosition="0">
        <references count="2">
          <reference field="4294967294" count="1" selected="0">
            <x v="5"/>
          </reference>
          <reference field="4" count="1" selected="0">
            <x v="2"/>
          </reference>
        </references>
      </pivotArea>
    </chartFormat>
    <chartFormat chart="7" format="130">
      <pivotArea type="data" outline="0" fieldPosition="0">
        <references count="2">
          <reference field="4294967294" count="1" selected="0">
            <x v="5"/>
          </reference>
          <reference field="4" count="1" selected="0">
            <x v="3"/>
          </reference>
        </references>
      </pivotArea>
    </chartFormat>
    <chartFormat chart="7" format="131">
      <pivotArea type="data" outline="0" fieldPosition="0">
        <references count="2">
          <reference field="4294967294" count="1" selected="0">
            <x v="5"/>
          </reference>
          <reference field="4" count="1" selected="0">
            <x v="4"/>
          </reference>
        </references>
      </pivotArea>
    </chartFormat>
    <chartFormat chart="7" format="132" series="1">
      <pivotArea type="data" outline="0" fieldPosition="0">
        <references count="1">
          <reference field="4294967294" count="1" selected="0">
            <x v="6"/>
          </reference>
        </references>
      </pivotArea>
    </chartFormat>
    <chartFormat chart="7" format="133">
      <pivotArea type="data" outline="0" fieldPosition="0">
        <references count="2">
          <reference field="4294967294" count="1" selected="0">
            <x v="6"/>
          </reference>
          <reference field="4" count="1" selected="0">
            <x v="0"/>
          </reference>
        </references>
      </pivotArea>
    </chartFormat>
    <chartFormat chart="7" format="134">
      <pivotArea type="data" outline="0" fieldPosition="0">
        <references count="2">
          <reference field="4294967294" count="1" selected="0">
            <x v="6"/>
          </reference>
          <reference field="4" count="1" selected="0">
            <x v="1"/>
          </reference>
        </references>
      </pivotArea>
    </chartFormat>
    <chartFormat chart="7" format="135">
      <pivotArea type="data" outline="0" fieldPosition="0">
        <references count="2">
          <reference field="4294967294" count="1" selected="0">
            <x v="6"/>
          </reference>
          <reference field="4" count="1" selected="0">
            <x v="2"/>
          </reference>
        </references>
      </pivotArea>
    </chartFormat>
    <chartFormat chart="7" format="136">
      <pivotArea type="data" outline="0" fieldPosition="0">
        <references count="2">
          <reference field="4294967294" count="1" selected="0">
            <x v="6"/>
          </reference>
          <reference field="4" count="1" selected="0">
            <x v="3"/>
          </reference>
        </references>
      </pivotArea>
    </chartFormat>
    <chartFormat chart="7" format="137">
      <pivotArea type="data" outline="0" fieldPosition="0">
        <references count="2">
          <reference field="4294967294" count="1" selected="0">
            <x v="6"/>
          </reference>
          <reference field="4" count="1" selected="0">
            <x v="4"/>
          </reference>
        </references>
      </pivotArea>
    </chartFormat>
    <chartFormat chart="7" format="138" series="1">
      <pivotArea type="data" outline="0" fieldPosition="0">
        <references count="1">
          <reference field="4294967294" count="1" selected="0">
            <x v="7"/>
          </reference>
        </references>
      </pivotArea>
    </chartFormat>
    <chartFormat chart="7" format="139">
      <pivotArea type="data" outline="0" fieldPosition="0">
        <references count="2">
          <reference field="4294967294" count="1" selected="0">
            <x v="7"/>
          </reference>
          <reference field="4" count="1" selected="0">
            <x v="0"/>
          </reference>
        </references>
      </pivotArea>
    </chartFormat>
    <chartFormat chart="7" format="140">
      <pivotArea type="data" outline="0" fieldPosition="0">
        <references count="2">
          <reference field="4294967294" count="1" selected="0">
            <x v="7"/>
          </reference>
          <reference field="4" count="1" selected="0">
            <x v="1"/>
          </reference>
        </references>
      </pivotArea>
    </chartFormat>
    <chartFormat chart="7" format="141">
      <pivotArea type="data" outline="0" fieldPosition="0">
        <references count="2">
          <reference field="4294967294" count="1" selected="0">
            <x v="7"/>
          </reference>
          <reference field="4" count="1" selected="0">
            <x v="2"/>
          </reference>
        </references>
      </pivotArea>
    </chartFormat>
    <chartFormat chart="7" format="142">
      <pivotArea type="data" outline="0" fieldPosition="0">
        <references count="2">
          <reference field="4294967294" count="1" selected="0">
            <x v="7"/>
          </reference>
          <reference field="4" count="1" selected="0">
            <x v="3"/>
          </reference>
        </references>
      </pivotArea>
    </chartFormat>
    <chartFormat chart="7" format="143">
      <pivotArea type="data" outline="0" fieldPosition="0">
        <references count="2">
          <reference field="4294967294" count="1" selected="0">
            <x v="7"/>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4306D7-B0E7-41DC-817A-3BFE53D4F2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0" firstHeaderRow="1" firstDataRow="2" firstDataCol="1"/>
  <pivotFields count="14">
    <pivotField dataField="1" showAll="0"/>
    <pivotField numFmtId="14" showAll="0"/>
    <pivotField showAll="0"/>
    <pivotField showAll="0"/>
    <pivotField axis="axisRow" showAll="0">
      <items count="6">
        <item x="0"/>
        <item x="3"/>
        <item x="1"/>
        <item x="2"/>
        <item x="4"/>
        <item t="default"/>
      </items>
    </pivotField>
    <pivotField showAll="0"/>
    <pivotField showAll="0"/>
    <pivotField showAll="0"/>
    <pivotField showAll="0"/>
    <pivotField showAll="0"/>
    <pivotField showAll="0"/>
    <pivotField showAll="0"/>
    <pivotField axis="axisCol" showAll="0">
      <items count="3">
        <item x="0"/>
        <item x="1"/>
        <item t="default"/>
      </items>
    </pivotField>
    <pivotField showAll="0"/>
  </pivotFields>
  <rowFields count="1">
    <field x="4"/>
  </rowFields>
  <rowItems count="6">
    <i>
      <x/>
    </i>
    <i>
      <x v="1"/>
    </i>
    <i>
      <x v="2"/>
    </i>
    <i>
      <x v="3"/>
    </i>
    <i>
      <x v="4"/>
    </i>
    <i t="grand">
      <x/>
    </i>
  </rowItems>
  <colFields count="1">
    <field x="12"/>
  </colFields>
  <colItems count="3">
    <i>
      <x/>
    </i>
    <i>
      <x v="1"/>
    </i>
    <i t="grand">
      <x/>
    </i>
  </colItems>
  <dataFields count="1">
    <dataField name="Count of Patient Initials" fld="0"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8" format="4" series="1">
      <pivotArea type="data" outline="0" fieldPosition="0">
        <references count="2">
          <reference field="4294967294" count="1" selected="0">
            <x v="0"/>
          </reference>
          <reference field="12" count="1" selected="0">
            <x v="0"/>
          </reference>
        </references>
      </pivotArea>
    </chartFormat>
    <chartFormat chart="8"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BBF118-16B9-456C-8BA7-4B77887708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4">
    <pivotField dataField="1" showAll="0"/>
    <pivotField numFmtId="14" showAll="0"/>
    <pivotField showAll="0"/>
    <pivotField showAll="0"/>
    <pivotField axis="axisRow"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Patient Initials"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4" count="1" selected="0">
            <x v="0"/>
          </reference>
        </references>
      </pivotArea>
    </chartFormat>
    <chartFormat chart="6" format="14">
      <pivotArea type="data" outline="0" fieldPosition="0">
        <references count="2">
          <reference field="4294967294" count="1" selected="0">
            <x v="0"/>
          </reference>
          <reference field="4" count="1" selected="0">
            <x v="1"/>
          </reference>
        </references>
      </pivotArea>
    </chartFormat>
    <chartFormat chart="6" format="15">
      <pivotArea type="data" outline="0" fieldPosition="0">
        <references count="2">
          <reference field="4294967294" count="1" selected="0">
            <x v="0"/>
          </reference>
          <reference field="4" count="1" selected="0">
            <x v="2"/>
          </reference>
        </references>
      </pivotArea>
    </chartFormat>
    <chartFormat chart="6" format="16">
      <pivotArea type="data" outline="0" fieldPosition="0">
        <references count="2">
          <reference field="4294967294" count="1" selected="0">
            <x v="0"/>
          </reference>
          <reference field="4" count="1" selected="0">
            <x v="3"/>
          </reference>
        </references>
      </pivotArea>
    </chartFormat>
    <chartFormat chart="6"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5B2139-A77C-4832-9D36-59B811F0F9E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0" firstHeaderRow="1" firstDataRow="2" firstDataCol="1"/>
  <pivotFields count="14">
    <pivotField dataField="1" showAll="0"/>
    <pivotField numFmtId="14" showAll="0"/>
    <pivotField showAll="0"/>
    <pivotField axis="axisRow" showAll="0">
      <items count="6">
        <item x="2"/>
        <item x="1"/>
        <item x="4"/>
        <item x="3"/>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s>
  <rowFields count="1">
    <field x="3"/>
  </rowFields>
  <rowItems count="6">
    <i>
      <x/>
    </i>
    <i>
      <x v="1"/>
    </i>
    <i>
      <x v="2"/>
    </i>
    <i>
      <x v="3"/>
    </i>
    <i>
      <x v="4"/>
    </i>
    <i t="grand">
      <x/>
    </i>
  </rowItems>
  <colFields count="1">
    <field x="10"/>
  </colFields>
  <colItems count="3">
    <i>
      <x/>
    </i>
    <i>
      <x v="1"/>
    </i>
    <i t="grand">
      <x/>
    </i>
  </colItems>
  <dataFields count="1">
    <dataField name="Count of Patient Initials" fld="0"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5" format="4" series="1">
      <pivotArea type="data" outline="0" fieldPosition="0">
        <references count="2">
          <reference field="4294967294" count="1" selected="0">
            <x v="0"/>
          </reference>
          <reference field="10" count="1" selected="0">
            <x v="0"/>
          </reference>
        </references>
      </pivotArea>
    </chartFormat>
    <chartFormat chart="5"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836F68-41E8-4B02-8C1C-F8AA30EA029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5">
    <pivotField showAll="0"/>
    <pivotField numFmtId="22" showAll="0"/>
    <pivotField showAll="0"/>
    <pivotField showAll="0"/>
    <pivotField axis="axisRow"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 dataField="1" showAll="0"/>
  </pivotFields>
  <rowFields count="1">
    <field x="4"/>
  </rowFields>
  <rowItems count="6">
    <i>
      <x/>
    </i>
    <i>
      <x v="1"/>
    </i>
    <i>
      <x v="2"/>
    </i>
    <i>
      <x v="3"/>
    </i>
    <i>
      <x v="4"/>
    </i>
    <i t="grand">
      <x/>
    </i>
  </rowItems>
  <colItems count="1">
    <i/>
  </colItems>
  <dataFields count="1">
    <dataField name="Average of Service Score" fld="14" subtotal="average" baseField="4" baseItem="1" numFmtId="2"/>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743821-2D5E-40F3-8C51-7F75F8854BE5}" autoFormatId="16" applyNumberFormats="0" applyBorderFormats="0" applyFontFormats="0" applyPatternFormats="0" applyAlignmentFormats="0" applyWidthHeightFormats="0">
  <queryTableRefresh nextId="16">
    <queryTableFields count="15">
      <queryTableField id="1" name="Patient Initials" tableColumnId="1"/>
      <queryTableField id="2" name="Date of Birth" tableColumnId="2"/>
      <queryTableField id="3" name="Age" tableColumnId="3"/>
      <queryTableField id="4" name="Age Group" tableColumnId="4"/>
      <queryTableField id="5" name="Visit Type" tableColumnId="5"/>
      <queryTableField id="6" name="Consent Completed" tableColumnId="6"/>
      <queryTableField id="7" name="History Completed" tableColumnId="7"/>
      <queryTableField id="8" name="Physical Completed" tableColumnId="8"/>
      <queryTableField id="9" name="Labs Completed" tableColumnId="9"/>
      <queryTableField id="10" name="Diagnostic Test Completed" tableColumnId="10"/>
      <queryTableField id="11" name="Education Provided" tableColumnId="11"/>
      <queryTableField id="12" name="Treatment Plan Completed" tableColumnId="12"/>
      <queryTableField id="13" name="Follow Up Appointments Provided" tableColumnId="13"/>
      <queryTableField id="14" name="History of Violence" tableColumnId="14"/>
      <queryTableField id="15" name="Service Scor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B7D7E10-1FB3-400A-98DE-F2883FAE2449}" sourceName="Age Group">
  <pivotTables>
    <pivotTable tabId="18" name="PivotTable3"/>
  </pivotTables>
  <data>
    <tabular pivotCacheId="1788768146">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E32654E1-E7BB-4590-99FF-A8D10AE82D47}" sourceName="Visit Type">
  <pivotTables>
    <pivotTable tabId="18" name="PivotTable3"/>
  </pivotTables>
  <data>
    <tabular pivotCacheId="1788768146">
      <items count="5">
        <i x="0" s="1"/>
        <i x="3"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3E18D0DB-D3C6-4792-BA9F-9C2F2FAFF0EF}" cache="Slicer_Age_Group" caption="Age Group" rowHeight="241300"/>
  <slicer name="Visit Type" xr10:uid="{619054CC-90AB-4FD0-8FF0-69C1E0755CCA}" cache="Slicer_Visit_Type" caption="Visit Type"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02262D-B486-48E7-96F8-8AD8067C05F2}" name="WomensHealth" displayName="WomensHealth" ref="A1:O51" totalsRowShown="0" headerRowDxfId="17">
  <autoFilter ref="A1:O51" xr:uid="{5402262D-B486-48E7-96F8-8AD8067C05F2}"/>
  <tableColumns count="15">
    <tableColumn id="1" xr3:uid="{77A9EABA-5D06-41AB-8320-9E862DE854E1}" name="Patient Initials"/>
    <tableColumn id="2" xr3:uid="{5B72674E-69D5-4E9E-B74A-C4F090252B40}" name="Date of Birth" dataDxfId="16"/>
    <tableColumn id="3" xr3:uid="{F8D95FCD-449C-404F-A45F-BEEA47AF5881}" name="Age" dataDxfId="15">
      <calculatedColumnFormula>DATEDIF(B2, TODAY(), "Y")</calculatedColumnFormula>
    </tableColumn>
    <tableColumn id="15" xr3:uid="{57097BF6-724D-4CD0-86FC-F5241F9ED243}" name="Age Group" dataDxfId="14">
      <calculatedColumnFormula>IF(C2&lt;25, "&lt;25", IF(C2&lt;=34, "25–34", IF(C2&lt;=44, "35–44", IF(C2&lt;=54, "45–54", "55+"))))</calculatedColumnFormula>
    </tableColumn>
    <tableColumn id="4" xr3:uid="{41FF8A9C-1624-46C6-AD1D-20779D4EB3CE}" name="Visit Type"/>
    <tableColumn id="5" xr3:uid="{64FE6C8D-CCC6-4B11-ADB1-A2BE44E15496}" name="Consent Completed"/>
    <tableColumn id="6" xr3:uid="{129A6A00-340B-4BEF-B338-E364671BB74C}" name="History Completed"/>
    <tableColumn id="7" xr3:uid="{B2F26D7A-595E-417C-A2DF-939EBC7CB424}" name="Physical Completed"/>
    <tableColumn id="8" xr3:uid="{F4F9EF37-F330-4533-A170-F47376E09654}" name="Labs Completed"/>
    <tableColumn id="9" xr3:uid="{4C117D2D-33C3-4FE1-A8A1-98981FF50135}" name="Diagnostic Test Completed"/>
    <tableColumn id="10" xr3:uid="{7180DB6E-DDCF-4A63-9A60-6263F1CADBE4}" name="Education Provided"/>
    <tableColumn id="11" xr3:uid="{DC1FF49D-060A-4B97-A306-C5B914D750BF}" name="Treatment Plan Completed"/>
    <tableColumn id="12" xr3:uid="{A5578A11-12B6-40C7-B601-E910ABDDB730}" name="Follow Up Appointments Provided"/>
    <tableColumn id="13" xr3:uid="{6D31467C-0019-4E6B-9BDE-40B839064F96}" name="History of Violence"/>
    <tableColumn id="16" xr3:uid="{2375B7C3-EF5E-4085-9603-C9A7D3715A42}" name="Service Score" dataDxfId="13">
      <calculatedColumnFormula array="1">SUMPRODUCT(--(TRIM(F2:N2)="Yes"))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3B3590-2342-4E94-9470-165212BBB219}" name="WomensHealth_1" displayName="WomensHealth_1" ref="A1:O51" tableType="queryTable" totalsRowShown="0">
  <autoFilter ref="A1:O51" xr:uid="{4F3B3590-2342-4E94-9470-165212BBB219}"/>
  <tableColumns count="15">
    <tableColumn id="1" xr3:uid="{2D7959AE-EA84-4B64-A8B5-D9ED528A8450}" uniqueName="1" name="Patient Initials" queryTableFieldId="1" dataDxfId="12"/>
    <tableColumn id="2" xr3:uid="{A5502D44-B6E0-468A-B3D0-FF0879615BF9}" uniqueName="2" name="Date of Birth" queryTableFieldId="2" dataDxfId="11"/>
    <tableColumn id="3" xr3:uid="{17791043-6ECD-4EC1-B291-029E4BCBBB13}" uniqueName="3" name="Age" queryTableFieldId="3"/>
    <tableColumn id="4" xr3:uid="{CE00C6EA-1010-43CB-A2A1-61843C4D3250}" uniqueName="4" name="Age Group" queryTableFieldId="4" dataDxfId="10"/>
    <tableColumn id="5" xr3:uid="{8EA0FDE9-D6A4-49CB-8F8A-79A3706837AD}" uniqueName="5" name="Visit Type" queryTableFieldId="5" dataDxfId="9"/>
    <tableColumn id="6" xr3:uid="{5788A8F2-C99C-4DAB-B539-F9F213069B2E}" uniqueName="6" name="Consent Completed" queryTableFieldId="6" dataDxfId="8"/>
    <tableColumn id="7" xr3:uid="{9BF4A738-9E2B-45A0-A126-9C85E63F4770}" uniqueName="7" name="History Completed" queryTableFieldId="7" dataDxfId="7"/>
    <tableColumn id="8" xr3:uid="{16851B3F-DAD1-43BC-AF61-C1DE0CFE19CB}" uniqueName="8" name="Physical Completed" queryTableFieldId="8" dataDxfId="6"/>
    <tableColumn id="9" xr3:uid="{A1AF9516-23E4-45EF-A78F-FC9C4A70501A}" uniqueName="9" name="Labs Completed" queryTableFieldId="9" dataDxfId="5"/>
    <tableColumn id="10" xr3:uid="{CFDFEB63-CE54-4249-B56C-29E216EB7BFE}" uniqueName="10" name="Diagnostic Test Completed" queryTableFieldId="10" dataDxfId="4"/>
    <tableColumn id="11" xr3:uid="{1FA247F9-4CF9-4369-8D5E-7BA8CA1A6EDB}" uniqueName="11" name="Education Provided" queryTableFieldId="11" dataDxfId="3"/>
    <tableColumn id="12" xr3:uid="{28FE7569-1032-489E-95D4-9B52421EA452}" uniqueName="12" name="Treatment Plan Completed" queryTableFieldId="12" dataDxfId="2"/>
    <tableColumn id="13" xr3:uid="{00B6CCEB-FA81-4A60-9A4D-ABA15B7FD7C4}" uniqueName="13" name="Follow Up Appointments Provided" queryTableFieldId="13" dataDxfId="1"/>
    <tableColumn id="14" xr3:uid="{BFD8B4CE-B923-4744-85F8-AC020AEAAF21}" uniqueName="14" name="History of Violence" queryTableFieldId="14" dataDxfId="0"/>
    <tableColumn id="15" xr3:uid="{D1FC797D-D178-4E9C-92E1-C52439D5122B}" uniqueName="15" name="Service Score"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786DA-A98D-4085-B254-1B33971EF167}">
  <dimension ref="A1"/>
  <sheetViews>
    <sheetView showGridLines="0" tabSelected="1" zoomScale="56" workbookViewId="0">
      <selection activeCell="C17" sqref="C1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zoomScale="90" workbookViewId="0">
      <selection activeCell="O8" sqref="O8"/>
    </sheetView>
  </sheetViews>
  <sheetFormatPr defaultRowHeight="14.5" x14ac:dyDescent="0.35"/>
  <cols>
    <col min="1" max="1" width="14.90625" customWidth="1"/>
    <col min="2" max="2" width="13.54296875" customWidth="1"/>
    <col min="4" max="4" width="14.1796875" bestFit="1" customWidth="1"/>
    <col min="5" max="5" width="19.81640625" bestFit="1" customWidth="1"/>
    <col min="6" max="6" width="19.36328125" customWidth="1"/>
    <col min="7" max="7" width="18.453125" customWidth="1"/>
    <col min="8" max="8" width="19.08984375" customWidth="1"/>
    <col min="9" max="9" width="16.1796875" customWidth="1"/>
    <col min="10" max="10" width="25.08984375" customWidth="1"/>
    <col min="11" max="11" width="19.08984375" customWidth="1"/>
    <col min="12" max="12" width="25.453125" customWidth="1"/>
    <col min="13" max="13" width="31.453125" customWidth="1"/>
    <col min="14" max="14" width="18.54296875" customWidth="1"/>
    <col min="15" max="15" width="16.1796875" bestFit="1" customWidth="1"/>
  </cols>
  <sheetData>
    <row r="1" spans="1:15" s="1" customFormat="1" x14ac:dyDescent="0.35">
      <c r="A1" s="1" t="s">
        <v>0</v>
      </c>
      <c r="B1" s="1" t="s">
        <v>1</v>
      </c>
      <c r="C1" s="1" t="s">
        <v>2</v>
      </c>
      <c r="D1" s="1" t="s">
        <v>80</v>
      </c>
      <c r="E1" s="1" t="s">
        <v>3</v>
      </c>
      <c r="F1" s="1" t="s">
        <v>4</v>
      </c>
      <c r="G1" s="1" t="s">
        <v>5</v>
      </c>
      <c r="H1" s="1" t="s">
        <v>6</v>
      </c>
      <c r="I1" s="1" t="s">
        <v>7</v>
      </c>
      <c r="J1" s="1" t="s">
        <v>8</v>
      </c>
      <c r="K1" s="1" t="s">
        <v>9</v>
      </c>
      <c r="L1" s="1" t="s">
        <v>10</v>
      </c>
      <c r="M1" s="1" t="s">
        <v>11</v>
      </c>
      <c r="N1" s="1" t="s">
        <v>12</v>
      </c>
      <c r="O1" s="1" t="s">
        <v>86</v>
      </c>
    </row>
    <row r="2" spans="1:15" x14ac:dyDescent="0.35">
      <c r="A2" t="s">
        <v>13</v>
      </c>
      <c r="B2" s="2">
        <v>21422</v>
      </c>
      <c r="C2" s="3">
        <f t="shared" ref="C2:C33" ca="1" si="0">DATEDIF(B2, TODAY(), "Y")</f>
        <v>66</v>
      </c>
      <c r="D2" s="3" t="str">
        <f t="shared" ref="D2:D33" ca="1" si="1">IF(C2&lt;25, "&lt;25", IF(C2&lt;=34, "25–34", IF(C2&lt;=44, "35–44", IF(C2&lt;=54, "45–54", "55+"))))</f>
        <v>55+</v>
      </c>
      <c r="E2" t="s">
        <v>63</v>
      </c>
      <c r="F2" t="s">
        <v>61</v>
      </c>
      <c r="G2" t="s">
        <v>59</v>
      </c>
      <c r="H2" t="s">
        <v>59</v>
      </c>
      <c r="I2" t="s">
        <v>60</v>
      </c>
      <c r="J2" t="s">
        <v>59</v>
      </c>
      <c r="K2" t="s">
        <v>60</v>
      </c>
      <c r="L2" t="s">
        <v>59</v>
      </c>
      <c r="M2" t="s">
        <v>60</v>
      </c>
      <c r="N2" t="s">
        <v>62</v>
      </c>
      <c r="O2" cm="1">
        <f t="array" ref="O2">SUMPRODUCT(--(TRIM(F2:N2)="Yes"))</f>
        <v>5</v>
      </c>
    </row>
    <row r="3" spans="1:15" x14ac:dyDescent="0.35">
      <c r="A3" t="s">
        <v>14</v>
      </c>
      <c r="B3" s="2">
        <v>35861</v>
      </c>
      <c r="C3" s="3">
        <f t="shared" ca="1" si="0"/>
        <v>27</v>
      </c>
      <c r="D3" s="3" t="str">
        <f t="shared" ca="1" si="1"/>
        <v>25–34</v>
      </c>
      <c r="E3" t="s">
        <v>63</v>
      </c>
      <c r="F3" t="s">
        <v>61</v>
      </c>
      <c r="G3" t="s">
        <v>60</v>
      </c>
      <c r="H3" t="s">
        <v>60</v>
      </c>
      <c r="I3" t="s">
        <v>59</v>
      </c>
      <c r="J3" t="s">
        <v>60</v>
      </c>
      <c r="K3" t="s">
        <v>59</v>
      </c>
      <c r="L3" t="s">
        <v>60</v>
      </c>
      <c r="M3" t="s">
        <v>59</v>
      </c>
      <c r="N3" t="s">
        <v>62</v>
      </c>
      <c r="O3" cm="1">
        <f t="array" ref="O3">SUMPRODUCT(--(TRIM(F3:N3)="Yes"))</f>
        <v>4</v>
      </c>
    </row>
    <row r="4" spans="1:15" x14ac:dyDescent="0.35">
      <c r="A4" t="s">
        <v>15</v>
      </c>
      <c r="B4" s="2">
        <v>20575</v>
      </c>
      <c r="C4" s="3">
        <f t="shared" ca="1" si="0"/>
        <v>69</v>
      </c>
      <c r="D4" s="3" t="str">
        <f t="shared" ca="1" si="1"/>
        <v>55+</v>
      </c>
      <c r="E4" t="s">
        <v>64</v>
      </c>
      <c r="F4" t="s">
        <v>61</v>
      </c>
      <c r="G4" t="s">
        <v>59</v>
      </c>
      <c r="H4" t="s">
        <v>59</v>
      </c>
      <c r="I4" t="s">
        <v>60</v>
      </c>
      <c r="J4" t="s">
        <v>60</v>
      </c>
      <c r="K4" t="s">
        <v>59</v>
      </c>
      <c r="L4" t="s">
        <v>60</v>
      </c>
      <c r="M4" t="s">
        <v>59</v>
      </c>
      <c r="N4" t="s">
        <v>62</v>
      </c>
      <c r="O4" cm="1">
        <f t="array" ref="O4">SUMPRODUCT(--(TRIM(F4:N4)="Yes"))</f>
        <v>5</v>
      </c>
    </row>
    <row r="5" spans="1:15" x14ac:dyDescent="0.35">
      <c r="A5" t="s">
        <v>16</v>
      </c>
      <c r="B5" s="2">
        <v>17334</v>
      </c>
      <c r="C5" s="3">
        <f t="shared" ca="1" si="0"/>
        <v>78</v>
      </c>
      <c r="D5" s="3" t="str">
        <f t="shared" ca="1" si="1"/>
        <v>55+</v>
      </c>
      <c r="E5" t="s">
        <v>65</v>
      </c>
      <c r="F5" t="s">
        <v>61</v>
      </c>
      <c r="G5" t="s">
        <v>59</v>
      </c>
      <c r="H5" t="s">
        <v>60</v>
      </c>
      <c r="I5" t="s">
        <v>59</v>
      </c>
      <c r="J5" t="s">
        <v>59</v>
      </c>
      <c r="K5" t="s">
        <v>60</v>
      </c>
      <c r="L5" t="s">
        <v>59</v>
      </c>
      <c r="M5" t="s">
        <v>60</v>
      </c>
      <c r="N5" t="s">
        <v>62</v>
      </c>
      <c r="O5" cm="1">
        <f t="array" ref="O5">SUMPRODUCT(--(TRIM(F5:N5)="Yes"))</f>
        <v>5</v>
      </c>
    </row>
    <row r="6" spans="1:15" x14ac:dyDescent="0.35">
      <c r="A6" t="s">
        <v>17</v>
      </c>
      <c r="B6" s="2">
        <v>38545</v>
      </c>
      <c r="C6" s="3">
        <f t="shared" ca="1" si="0"/>
        <v>20</v>
      </c>
      <c r="D6" s="3" t="str">
        <f t="shared" ca="1" si="1"/>
        <v>&lt;25</v>
      </c>
      <c r="E6" t="s">
        <v>65</v>
      </c>
      <c r="F6" t="s">
        <v>61</v>
      </c>
      <c r="G6" t="s">
        <v>60</v>
      </c>
      <c r="H6" t="s">
        <v>60</v>
      </c>
      <c r="I6" t="s">
        <v>59</v>
      </c>
      <c r="J6" t="s">
        <v>60</v>
      </c>
      <c r="K6" t="s">
        <v>59</v>
      </c>
      <c r="L6" t="s">
        <v>59</v>
      </c>
      <c r="M6" t="s">
        <v>59</v>
      </c>
      <c r="N6" t="s">
        <v>62</v>
      </c>
      <c r="O6" cm="1">
        <f t="array" ref="O6">SUMPRODUCT(--(TRIM(F6:N6)="Yes"))</f>
        <v>5</v>
      </c>
    </row>
    <row r="7" spans="1:15" x14ac:dyDescent="0.35">
      <c r="A7" t="s">
        <v>18</v>
      </c>
      <c r="B7" s="2">
        <v>29033</v>
      </c>
      <c r="C7" s="3">
        <f t="shared" ca="1" si="0"/>
        <v>46</v>
      </c>
      <c r="D7" s="3" t="str">
        <f t="shared" ca="1" si="1"/>
        <v>45–54</v>
      </c>
      <c r="E7" t="s">
        <v>65</v>
      </c>
      <c r="F7" t="s">
        <v>61</v>
      </c>
      <c r="G7" t="s">
        <v>59</v>
      </c>
      <c r="H7" t="s">
        <v>59</v>
      </c>
      <c r="I7" t="s">
        <v>60</v>
      </c>
      <c r="J7" t="s">
        <v>59</v>
      </c>
      <c r="K7" t="s">
        <v>60</v>
      </c>
      <c r="L7" t="s">
        <v>60</v>
      </c>
      <c r="M7" t="s">
        <v>59</v>
      </c>
      <c r="N7" t="s">
        <v>62</v>
      </c>
      <c r="O7" cm="1">
        <f t="array" ref="O7">SUMPRODUCT(--(TRIM(F7:N7)="Yes"))</f>
        <v>5</v>
      </c>
    </row>
    <row r="8" spans="1:15" x14ac:dyDescent="0.35">
      <c r="A8" t="s">
        <v>19</v>
      </c>
      <c r="B8" s="2">
        <v>35720</v>
      </c>
      <c r="C8" s="3">
        <f t="shared" ca="1" si="0"/>
        <v>27</v>
      </c>
      <c r="D8" s="3" t="str">
        <f t="shared" ca="1" si="1"/>
        <v>25–34</v>
      </c>
      <c r="E8" t="s">
        <v>63</v>
      </c>
      <c r="F8" t="s">
        <v>61</v>
      </c>
      <c r="G8" t="s">
        <v>60</v>
      </c>
      <c r="H8" t="s">
        <v>59</v>
      </c>
      <c r="I8" t="s">
        <v>60</v>
      </c>
      <c r="J8" t="s">
        <v>60</v>
      </c>
      <c r="K8" t="s">
        <v>59</v>
      </c>
      <c r="L8" t="s">
        <v>59</v>
      </c>
      <c r="M8" t="s">
        <v>60</v>
      </c>
      <c r="N8" t="s">
        <v>62</v>
      </c>
      <c r="O8" cm="1">
        <f t="array" ref="O8">SUMPRODUCT(--(TRIM(F8:N8)="Yes"))</f>
        <v>4</v>
      </c>
    </row>
    <row r="9" spans="1:15" x14ac:dyDescent="0.35">
      <c r="A9" t="s">
        <v>20</v>
      </c>
      <c r="B9" s="2">
        <v>33037</v>
      </c>
      <c r="C9" s="3">
        <f t="shared" ca="1" si="0"/>
        <v>35</v>
      </c>
      <c r="D9" s="3" t="str">
        <f t="shared" ca="1" si="1"/>
        <v>35–44</v>
      </c>
      <c r="E9" t="s">
        <v>66</v>
      </c>
      <c r="F9" t="s">
        <v>61</v>
      </c>
      <c r="G9" t="s">
        <v>60</v>
      </c>
      <c r="H9" t="s">
        <v>60</v>
      </c>
      <c r="I9" t="s">
        <v>59</v>
      </c>
      <c r="J9" t="s">
        <v>59</v>
      </c>
      <c r="K9" t="s">
        <v>59</v>
      </c>
      <c r="L9" t="s">
        <v>60</v>
      </c>
      <c r="M9" t="s">
        <v>59</v>
      </c>
      <c r="N9" t="s">
        <v>62</v>
      </c>
      <c r="O9" cm="1">
        <f t="array" ref="O9">SUMPRODUCT(--(TRIM(F9:N9)="Yes"))</f>
        <v>5</v>
      </c>
    </row>
    <row r="10" spans="1:15" x14ac:dyDescent="0.35">
      <c r="A10" t="s">
        <v>21</v>
      </c>
      <c r="B10" s="2">
        <v>36719</v>
      </c>
      <c r="C10" s="3">
        <f t="shared" ca="1" si="0"/>
        <v>25</v>
      </c>
      <c r="D10" s="3" t="str">
        <f t="shared" ca="1" si="1"/>
        <v>25–34</v>
      </c>
      <c r="E10" t="s">
        <v>63</v>
      </c>
      <c r="F10" t="s">
        <v>61</v>
      </c>
      <c r="G10" t="s">
        <v>59</v>
      </c>
      <c r="H10" t="s">
        <v>59</v>
      </c>
      <c r="I10" t="s">
        <v>59</v>
      </c>
      <c r="J10" t="s">
        <v>59</v>
      </c>
      <c r="K10" t="s">
        <v>60</v>
      </c>
      <c r="L10" t="s">
        <v>60</v>
      </c>
      <c r="M10" t="s">
        <v>60</v>
      </c>
      <c r="N10" t="s">
        <v>62</v>
      </c>
      <c r="O10" cm="1">
        <f t="array" ref="O10">SUMPRODUCT(--(TRIM(F10:N10)="Yes"))</f>
        <v>5</v>
      </c>
    </row>
    <row r="11" spans="1:15" x14ac:dyDescent="0.35">
      <c r="A11" t="s">
        <v>22</v>
      </c>
      <c r="B11" s="2">
        <v>28983</v>
      </c>
      <c r="C11" s="3">
        <f t="shared" ca="1" si="0"/>
        <v>46</v>
      </c>
      <c r="D11" s="3" t="str">
        <f t="shared" ca="1" si="1"/>
        <v>45–54</v>
      </c>
      <c r="E11" t="s">
        <v>66</v>
      </c>
      <c r="F11" t="s">
        <v>61</v>
      </c>
      <c r="G11" t="s">
        <v>59</v>
      </c>
      <c r="H11" t="s">
        <v>60</v>
      </c>
      <c r="I11" t="s">
        <v>60</v>
      </c>
      <c r="J11" t="s">
        <v>60</v>
      </c>
      <c r="K11" t="s">
        <v>60</v>
      </c>
      <c r="L11" t="s">
        <v>59</v>
      </c>
      <c r="M11" t="s">
        <v>60</v>
      </c>
      <c r="N11" t="s">
        <v>62</v>
      </c>
      <c r="O11" cm="1">
        <f t="array" ref="O11">SUMPRODUCT(--(TRIM(F11:N11)="Yes"))</f>
        <v>3</v>
      </c>
    </row>
    <row r="12" spans="1:15" x14ac:dyDescent="0.35">
      <c r="A12" t="s">
        <v>23</v>
      </c>
      <c r="B12" s="2">
        <v>28897</v>
      </c>
      <c r="C12" s="3">
        <f t="shared" ca="1" si="0"/>
        <v>46</v>
      </c>
      <c r="D12" s="3" t="str">
        <f t="shared" ca="1" si="1"/>
        <v>45–54</v>
      </c>
      <c r="E12" t="s">
        <v>67</v>
      </c>
      <c r="F12" t="s">
        <v>61</v>
      </c>
      <c r="G12" t="s">
        <v>60</v>
      </c>
      <c r="H12" t="s">
        <v>60</v>
      </c>
      <c r="I12" t="s">
        <v>59</v>
      </c>
      <c r="J12" t="s">
        <v>59</v>
      </c>
      <c r="K12" t="s">
        <v>59</v>
      </c>
      <c r="L12" t="s">
        <v>59</v>
      </c>
      <c r="M12" t="s">
        <v>59</v>
      </c>
      <c r="N12" t="s">
        <v>62</v>
      </c>
      <c r="O12" cm="1">
        <f t="array" ref="O12">SUMPRODUCT(--(TRIM(F12:N12)="Yes"))</f>
        <v>6</v>
      </c>
    </row>
    <row r="13" spans="1:15" x14ac:dyDescent="0.35">
      <c r="A13" t="s">
        <v>24</v>
      </c>
      <c r="B13" s="2">
        <v>29434</v>
      </c>
      <c r="C13" s="3">
        <f t="shared" ca="1" si="0"/>
        <v>44</v>
      </c>
      <c r="D13" s="3" t="str">
        <f t="shared" ca="1" si="1"/>
        <v>35–44</v>
      </c>
      <c r="E13" t="s">
        <v>63</v>
      </c>
      <c r="F13" t="s">
        <v>61</v>
      </c>
      <c r="G13" t="s">
        <v>59</v>
      </c>
      <c r="H13" t="s">
        <v>59</v>
      </c>
      <c r="I13" t="s">
        <v>60</v>
      </c>
      <c r="J13" t="s">
        <v>60</v>
      </c>
      <c r="K13" t="s">
        <v>60</v>
      </c>
      <c r="L13" t="s">
        <v>60</v>
      </c>
      <c r="M13" t="s">
        <v>60</v>
      </c>
      <c r="N13" t="s">
        <v>62</v>
      </c>
      <c r="O13" cm="1">
        <f t="array" ref="O13">SUMPRODUCT(--(TRIM(F13:N13)="Yes"))</f>
        <v>3</v>
      </c>
    </row>
    <row r="14" spans="1:15" x14ac:dyDescent="0.35">
      <c r="A14" t="s">
        <v>25</v>
      </c>
      <c r="B14" s="2">
        <v>36427</v>
      </c>
      <c r="C14" s="3">
        <f t="shared" ca="1" si="0"/>
        <v>25</v>
      </c>
      <c r="D14" s="3" t="str">
        <f t="shared" ca="1" si="1"/>
        <v>25–34</v>
      </c>
      <c r="E14" t="s">
        <v>63</v>
      </c>
      <c r="F14" t="s">
        <v>61</v>
      </c>
      <c r="G14" t="s">
        <v>60</v>
      </c>
      <c r="H14" t="s">
        <v>60</v>
      </c>
      <c r="I14" t="s">
        <v>59</v>
      </c>
      <c r="J14" t="s">
        <v>60</v>
      </c>
      <c r="K14" t="s">
        <v>59</v>
      </c>
      <c r="L14" t="s">
        <v>59</v>
      </c>
      <c r="M14" t="s">
        <v>59</v>
      </c>
      <c r="N14" t="s">
        <v>62</v>
      </c>
      <c r="O14" cm="1">
        <f t="array" ref="O14">SUMPRODUCT(--(TRIM(F14:N14)="Yes"))</f>
        <v>5</v>
      </c>
    </row>
    <row r="15" spans="1:15" x14ac:dyDescent="0.35">
      <c r="A15" t="s">
        <v>26</v>
      </c>
      <c r="B15" s="2">
        <v>29359</v>
      </c>
      <c r="C15" s="3">
        <f t="shared" ca="1" si="0"/>
        <v>45</v>
      </c>
      <c r="D15" s="3" t="str">
        <f t="shared" ca="1" si="1"/>
        <v>45–54</v>
      </c>
      <c r="E15" t="s">
        <v>63</v>
      </c>
      <c r="F15" t="s">
        <v>61</v>
      </c>
      <c r="G15" t="s">
        <v>59</v>
      </c>
      <c r="H15" t="s">
        <v>59</v>
      </c>
      <c r="I15" t="s">
        <v>59</v>
      </c>
      <c r="J15" t="s">
        <v>59</v>
      </c>
      <c r="K15" t="s">
        <v>59</v>
      </c>
      <c r="L15" t="s">
        <v>60</v>
      </c>
      <c r="M15" t="s">
        <v>60</v>
      </c>
      <c r="N15" t="s">
        <v>62</v>
      </c>
      <c r="O15" cm="1">
        <f t="array" ref="O15">SUMPRODUCT(--(TRIM(F15:N15)="Yes"))</f>
        <v>6</v>
      </c>
    </row>
    <row r="16" spans="1:15" x14ac:dyDescent="0.35">
      <c r="A16" t="s">
        <v>27</v>
      </c>
      <c r="B16" s="2">
        <v>37488</v>
      </c>
      <c r="C16" s="3">
        <f t="shared" ca="1" si="0"/>
        <v>22</v>
      </c>
      <c r="D16" s="3" t="str">
        <f t="shared" ca="1" si="1"/>
        <v>&lt;25</v>
      </c>
      <c r="E16" t="s">
        <v>65</v>
      </c>
      <c r="F16" t="s">
        <v>61</v>
      </c>
      <c r="G16" t="s">
        <v>59</v>
      </c>
      <c r="H16" t="s">
        <v>59</v>
      </c>
      <c r="I16" t="s">
        <v>60</v>
      </c>
      <c r="J16" t="s">
        <v>59</v>
      </c>
      <c r="K16" t="s">
        <v>60</v>
      </c>
      <c r="L16" t="s">
        <v>59</v>
      </c>
      <c r="M16" t="s">
        <v>59</v>
      </c>
      <c r="N16" t="s">
        <v>62</v>
      </c>
      <c r="O16" cm="1">
        <f t="array" ref="O16">SUMPRODUCT(--(TRIM(F16:N16)="Yes"))</f>
        <v>6</v>
      </c>
    </row>
    <row r="17" spans="1:15" x14ac:dyDescent="0.35">
      <c r="A17" t="s">
        <v>28</v>
      </c>
      <c r="B17" s="2">
        <v>21416</v>
      </c>
      <c r="C17" s="3">
        <f t="shared" ca="1" si="0"/>
        <v>66</v>
      </c>
      <c r="D17" s="3" t="str">
        <f t="shared" ca="1" si="1"/>
        <v>55+</v>
      </c>
      <c r="E17" t="s">
        <v>65</v>
      </c>
      <c r="F17" t="s">
        <v>61</v>
      </c>
      <c r="G17" t="s">
        <v>60</v>
      </c>
      <c r="H17" t="s">
        <v>60</v>
      </c>
      <c r="I17" t="s">
        <v>60</v>
      </c>
      <c r="J17" t="s">
        <v>60</v>
      </c>
      <c r="K17" t="s">
        <v>60</v>
      </c>
      <c r="L17" t="s">
        <v>59</v>
      </c>
      <c r="M17" t="s">
        <v>60</v>
      </c>
      <c r="N17" t="s">
        <v>62</v>
      </c>
      <c r="O17" cm="1">
        <f t="array" ref="O17">SUMPRODUCT(--(TRIM(F17:N17)="Yes"))</f>
        <v>2</v>
      </c>
    </row>
    <row r="18" spans="1:15" x14ac:dyDescent="0.35">
      <c r="A18" t="s">
        <v>27</v>
      </c>
      <c r="B18" s="2">
        <v>21253</v>
      </c>
      <c r="C18" s="3">
        <f t="shared" ca="1" si="0"/>
        <v>67</v>
      </c>
      <c r="D18" s="3" t="str">
        <f t="shared" ca="1" si="1"/>
        <v>55+</v>
      </c>
      <c r="E18" t="s">
        <v>66</v>
      </c>
      <c r="F18" t="s">
        <v>61</v>
      </c>
      <c r="G18" t="s">
        <v>60</v>
      </c>
      <c r="H18" t="s">
        <v>59</v>
      </c>
      <c r="I18" t="s">
        <v>59</v>
      </c>
      <c r="J18" t="s">
        <v>59</v>
      </c>
      <c r="K18" t="s">
        <v>59</v>
      </c>
      <c r="L18" t="s">
        <v>60</v>
      </c>
      <c r="M18" t="s">
        <v>59</v>
      </c>
      <c r="N18" t="s">
        <v>62</v>
      </c>
      <c r="O18" cm="1">
        <f t="array" ref="O18">SUMPRODUCT(--(TRIM(F18:N18)="Yes"))</f>
        <v>6</v>
      </c>
    </row>
    <row r="19" spans="1:15" x14ac:dyDescent="0.35">
      <c r="A19" t="s">
        <v>29</v>
      </c>
      <c r="B19" s="2">
        <v>24684</v>
      </c>
      <c r="C19" s="3">
        <f t="shared" ca="1" si="0"/>
        <v>58</v>
      </c>
      <c r="D19" s="3" t="str">
        <f t="shared" ca="1" si="1"/>
        <v>55+</v>
      </c>
      <c r="E19" t="s">
        <v>66</v>
      </c>
      <c r="F19" t="s">
        <v>61</v>
      </c>
      <c r="G19" t="s">
        <v>59</v>
      </c>
      <c r="H19" t="s">
        <v>59</v>
      </c>
      <c r="I19" t="s">
        <v>60</v>
      </c>
      <c r="J19" t="s">
        <v>60</v>
      </c>
      <c r="K19" t="s">
        <v>59</v>
      </c>
      <c r="L19" t="s">
        <v>60</v>
      </c>
      <c r="M19" t="s">
        <v>59</v>
      </c>
      <c r="N19" t="s">
        <v>62</v>
      </c>
      <c r="O19" cm="1">
        <f t="array" ref="O19">SUMPRODUCT(--(TRIM(F19:N19)="Yes"))</f>
        <v>5</v>
      </c>
    </row>
    <row r="20" spans="1:15" x14ac:dyDescent="0.35">
      <c r="A20" t="s">
        <v>30</v>
      </c>
      <c r="B20" s="2">
        <v>17881</v>
      </c>
      <c r="C20" s="3">
        <f t="shared" ca="1" si="0"/>
        <v>76</v>
      </c>
      <c r="D20" s="3" t="str">
        <f t="shared" ca="1" si="1"/>
        <v>55+</v>
      </c>
      <c r="E20" t="s">
        <v>63</v>
      </c>
      <c r="F20" t="s">
        <v>61</v>
      </c>
      <c r="G20" t="s">
        <v>60</v>
      </c>
      <c r="H20" t="s">
        <v>60</v>
      </c>
      <c r="I20" t="s">
        <v>59</v>
      </c>
      <c r="J20" t="s">
        <v>60</v>
      </c>
      <c r="K20" t="s">
        <v>60</v>
      </c>
      <c r="L20" t="s">
        <v>59</v>
      </c>
      <c r="M20" t="s">
        <v>60</v>
      </c>
      <c r="N20" t="s">
        <v>62</v>
      </c>
      <c r="O20" cm="1">
        <f t="array" ref="O20">SUMPRODUCT(--(TRIM(F20:N20)="Yes"))</f>
        <v>3</v>
      </c>
    </row>
    <row r="21" spans="1:15" x14ac:dyDescent="0.35">
      <c r="A21" t="s">
        <v>31</v>
      </c>
      <c r="B21" s="2">
        <v>33783</v>
      </c>
      <c r="C21" s="3">
        <f t="shared" ca="1" si="0"/>
        <v>33</v>
      </c>
      <c r="D21" s="3" t="str">
        <f t="shared" ca="1" si="1"/>
        <v>25–34</v>
      </c>
      <c r="E21" t="s">
        <v>66</v>
      </c>
      <c r="F21" t="s">
        <v>61</v>
      </c>
      <c r="G21" t="s">
        <v>59</v>
      </c>
      <c r="H21" t="s">
        <v>60</v>
      </c>
      <c r="I21" t="s">
        <v>60</v>
      </c>
      <c r="J21" t="s">
        <v>59</v>
      </c>
      <c r="K21" t="s">
        <v>59</v>
      </c>
      <c r="L21" t="s">
        <v>59</v>
      </c>
      <c r="M21" t="s">
        <v>59</v>
      </c>
      <c r="N21" t="s">
        <v>62</v>
      </c>
      <c r="O21" cm="1">
        <f t="array" ref="O21">SUMPRODUCT(--(TRIM(F21:N21)="Yes"))</f>
        <v>6</v>
      </c>
    </row>
    <row r="22" spans="1:15" x14ac:dyDescent="0.35">
      <c r="A22" t="s">
        <v>32</v>
      </c>
      <c r="B22" s="2">
        <v>23184</v>
      </c>
      <c r="C22" s="3">
        <f t="shared" ca="1" si="0"/>
        <v>62</v>
      </c>
      <c r="D22" s="3" t="str">
        <f t="shared" ca="1" si="1"/>
        <v>55+</v>
      </c>
      <c r="E22" t="s">
        <v>65</v>
      </c>
      <c r="F22" t="s">
        <v>61</v>
      </c>
      <c r="G22" t="s">
        <v>59</v>
      </c>
      <c r="H22" t="s">
        <v>59</v>
      </c>
      <c r="I22" t="s">
        <v>59</v>
      </c>
      <c r="J22" t="s">
        <v>59</v>
      </c>
      <c r="K22" t="s">
        <v>60</v>
      </c>
      <c r="L22" t="s">
        <v>60</v>
      </c>
      <c r="M22" t="s">
        <v>60</v>
      </c>
      <c r="N22" t="s">
        <v>62</v>
      </c>
      <c r="O22" cm="1">
        <f t="array" ref="O22">SUMPRODUCT(--(TRIM(F22:N22)="Yes"))</f>
        <v>5</v>
      </c>
    </row>
    <row r="23" spans="1:15" x14ac:dyDescent="0.35">
      <c r="A23" t="s">
        <v>33</v>
      </c>
      <c r="B23" s="2">
        <v>16501</v>
      </c>
      <c r="C23" s="3">
        <f t="shared" ca="1" si="0"/>
        <v>80</v>
      </c>
      <c r="D23" s="3" t="str">
        <f t="shared" ca="1" si="1"/>
        <v>55+</v>
      </c>
      <c r="E23" t="s">
        <v>66</v>
      </c>
      <c r="F23" t="s">
        <v>61</v>
      </c>
      <c r="G23" t="s">
        <v>60</v>
      </c>
      <c r="H23" t="s">
        <v>60</v>
      </c>
      <c r="I23" t="s">
        <v>60</v>
      </c>
      <c r="J23" t="s">
        <v>59</v>
      </c>
      <c r="K23" t="s">
        <v>60</v>
      </c>
      <c r="L23" t="s">
        <v>59</v>
      </c>
      <c r="M23" t="s">
        <v>59</v>
      </c>
      <c r="N23" t="s">
        <v>62</v>
      </c>
      <c r="O23" cm="1">
        <f t="array" ref="O23">SUMPRODUCT(--(TRIM(F23:N23)="Yes"))</f>
        <v>4</v>
      </c>
    </row>
    <row r="24" spans="1:15" x14ac:dyDescent="0.35">
      <c r="A24" t="s">
        <v>34</v>
      </c>
      <c r="B24" s="2">
        <v>13633</v>
      </c>
      <c r="C24" s="3">
        <f t="shared" ca="1" si="0"/>
        <v>88</v>
      </c>
      <c r="D24" s="3" t="str">
        <f t="shared" ca="1" si="1"/>
        <v>55+</v>
      </c>
      <c r="E24" t="s">
        <v>67</v>
      </c>
      <c r="F24" t="s">
        <v>61</v>
      </c>
      <c r="G24" t="s">
        <v>59</v>
      </c>
      <c r="H24" t="s">
        <v>59</v>
      </c>
      <c r="I24" t="s">
        <v>60</v>
      </c>
      <c r="J24" t="s">
        <v>60</v>
      </c>
      <c r="K24" t="s">
        <v>59</v>
      </c>
      <c r="L24" t="s">
        <v>60</v>
      </c>
      <c r="M24" t="s">
        <v>59</v>
      </c>
      <c r="N24" t="s">
        <v>62</v>
      </c>
      <c r="O24" cm="1">
        <f t="array" ref="O24">SUMPRODUCT(--(TRIM(F24:N24)="Yes"))</f>
        <v>5</v>
      </c>
    </row>
    <row r="25" spans="1:15" x14ac:dyDescent="0.35">
      <c r="A25" t="s">
        <v>35</v>
      </c>
      <c r="B25" s="2">
        <v>15651</v>
      </c>
      <c r="C25" s="3">
        <f t="shared" ca="1" si="0"/>
        <v>82</v>
      </c>
      <c r="D25" s="3" t="str">
        <f t="shared" ca="1" si="1"/>
        <v>55+</v>
      </c>
      <c r="E25" t="s">
        <v>65</v>
      </c>
      <c r="F25" t="s">
        <v>61</v>
      </c>
      <c r="G25" t="s">
        <v>60</v>
      </c>
      <c r="H25" t="s">
        <v>60</v>
      </c>
      <c r="I25" t="s">
        <v>59</v>
      </c>
      <c r="J25" t="s">
        <v>59</v>
      </c>
      <c r="K25" t="s">
        <v>59</v>
      </c>
      <c r="L25" t="s">
        <v>59</v>
      </c>
      <c r="M25" t="s">
        <v>60</v>
      </c>
      <c r="N25" t="s">
        <v>62</v>
      </c>
      <c r="O25" cm="1">
        <f t="array" ref="O25">SUMPRODUCT(--(TRIM(F25:N25)="Yes"))</f>
        <v>5</v>
      </c>
    </row>
    <row r="26" spans="1:15" x14ac:dyDescent="0.35">
      <c r="A26" t="s">
        <v>36</v>
      </c>
      <c r="B26" s="2">
        <v>22636</v>
      </c>
      <c r="C26" s="3">
        <f t="shared" ca="1" si="0"/>
        <v>63</v>
      </c>
      <c r="D26" s="3" t="str">
        <f t="shared" ca="1" si="1"/>
        <v>55+</v>
      </c>
      <c r="E26" t="s">
        <v>67</v>
      </c>
      <c r="F26" t="s">
        <v>61</v>
      </c>
      <c r="G26" t="s">
        <v>60</v>
      </c>
      <c r="H26" t="s">
        <v>59</v>
      </c>
      <c r="I26" t="s">
        <v>59</v>
      </c>
      <c r="J26" t="s">
        <v>60</v>
      </c>
      <c r="K26" t="s">
        <v>60</v>
      </c>
      <c r="L26" t="s">
        <v>60</v>
      </c>
      <c r="M26" t="s">
        <v>60</v>
      </c>
      <c r="N26" t="s">
        <v>61</v>
      </c>
      <c r="O26" cm="1">
        <f t="array" ref="O26">SUMPRODUCT(--(TRIM(F26:N26)="Yes"))</f>
        <v>4</v>
      </c>
    </row>
    <row r="27" spans="1:15" x14ac:dyDescent="0.35">
      <c r="A27" t="s">
        <v>37</v>
      </c>
      <c r="B27" s="2">
        <v>15962</v>
      </c>
      <c r="C27" s="3">
        <f t="shared" ca="1" si="0"/>
        <v>81</v>
      </c>
      <c r="D27" s="3" t="str">
        <f t="shared" ca="1" si="1"/>
        <v>55+</v>
      </c>
      <c r="E27" t="s">
        <v>66</v>
      </c>
      <c r="F27" t="s">
        <v>61</v>
      </c>
      <c r="G27" t="s">
        <v>59</v>
      </c>
      <c r="H27" t="s">
        <v>59</v>
      </c>
      <c r="I27" t="s">
        <v>59</v>
      </c>
      <c r="J27" t="s">
        <v>60</v>
      </c>
      <c r="K27" t="s">
        <v>59</v>
      </c>
      <c r="L27" t="s">
        <v>60</v>
      </c>
      <c r="M27" t="s">
        <v>59</v>
      </c>
      <c r="N27" t="s">
        <v>61</v>
      </c>
      <c r="O27" cm="1">
        <f t="array" ref="O27">SUMPRODUCT(--(TRIM(F27:N27)="Yes"))</f>
        <v>7</v>
      </c>
    </row>
    <row r="28" spans="1:15" x14ac:dyDescent="0.35">
      <c r="A28" t="s">
        <v>38</v>
      </c>
      <c r="B28" s="2">
        <v>32023</v>
      </c>
      <c r="C28" s="3">
        <f t="shared" ca="1" si="0"/>
        <v>37</v>
      </c>
      <c r="D28" s="3" t="str">
        <f t="shared" ca="1" si="1"/>
        <v>35–44</v>
      </c>
      <c r="E28" t="s">
        <v>64</v>
      </c>
      <c r="F28" t="s">
        <v>61</v>
      </c>
      <c r="G28" t="s">
        <v>59</v>
      </c>
      <c r="H28" t="s">
        <v>60</v>
      </c>
      <c r="I28" t="s">
        <v>60</v>
      </c>
      <c r="J28" t="s">
        <v>59</v>
      </c>
      <c r="K28" t="s">
        <v>60</v>
      </c>
      <c r="L28" t="s">
        <v>59</v>
      </c>
      <c r="M28" t="s">
        <v>60</v>
      </c>
      <c r="N28" t="s">
        <v>62</v>
      </c>
      <c r="O28" cm="1">
        <f t="array" ref="O28">SUMPRODUCT(--(TRIM(F28:N28)="Yes"))</f>
        <v>4</v>
      </c>
    </row>
    <row r="29" spans="1:15" x14ac:dyDescent="0.35">
      <c r="A29" t="s">
        <v>39</v>
      </c>
      <c r="B29" s="2">
        <v>20465</v>
      </c>
      <c r="C29" s="3">
        <f t="shared" ca="1" si="0"/>
        <v>69</v>
      </c>
      <c r="D29" s="3" t="str">
        <f t="shared" ca="1" si="1"/>
        <v>55+</v>
      </c>
      <c r="E29" t="s">
        <v>63</v>
      </c>
      <c r="F29" t="s">
        <v>61</v>
      </c>
      <c r="G29" t="s">
        <v>60</v>
      </c>
      <c r="H29" t="s">
        <v>60</v>
      </c>
      <c r="I29" t="s">
        <v>59</v>
      </c>
      <c r="J29" t="s">
        <v>60</v>
      </c>
      <c r="K29" t="s">
        <v>59</v>
      </c>
      <c r="L29" t="s">
        <v>59</v>
      </c>
      <c r="M29" t="s">
        <v>59</v>
      </c>
      <c r="N29" t="s">
        <v>62</v>
      </c>
      <c r="O29" cm="1">
        <f t="array" ref="O29">SUMPRODUCT(--(TRIM(F29:N29)="Yes"))</f>
        <v>5</v>
      </c>
    </row>
    <row r="30" spans="1:15" x14ac:dyDescent="0.35">
      <c r="A30" t="s">
        <v>40</v>
      </c>
      <c r="B30" s="2">
        <v>33251</v>
      </c>
      <c r="C30" s="3">
        <f t="shared" ca="1" si="0"/>
        <v>34</v>
      </c>
      <c r="D30" s="3" t="str">
        <f t="shared" ca="1" si="1"/>
        <v>25–34</v>
      </c>
      <c r="E30" t="s">
        <v>65</v>
      </c>
      <c r="F30" t="s">
        <v>61</v>
      </c>
      <c r="G30" t="s">
        <v>59</v>
      </c>
      <c r="H30" t="s">
        <v>59</v>
      </c>
      <c r="I30" t="s">
        <v>60</v>
      </c>
      <c r="J30" t="s">
        <v>59</v>
      </c>
      <c r="K30" t="s">
        <v>60</v>
      </c>
      <c r="L30" t="s">
        <v>59</v>
      </c>
      <c r="M30" t="s">
        <v>60</v>
      </c>
      <c r="N30" t="s">
        <v>62</v>
      </c>
      <c r="O30" cm="1">
        <f t="array" ref="O30">SUMPRODUCT(--(TRIM(F30:N30)="Yes"))</f>
        <v>5</v>
      </c>
    </row>
    <row r="31" spans="1:15" x14ac:dyDescent="0.35">
      <c r="A31" t="s">
        <v>41</v>
      </c>
      <c r="B31" s="2">
        <v>21723</v>
      </c>
      <c r="C31" s="3">
        <f t="shared" ca="1" si="0"/>
        <v>66</v>
      </c>
      <c r="D31" s="3" t="str">
        <f t="shared" ca="1" si="1"/>
        <v>55+</v>
      </c>
      <c r="E31" t="s">
        <v>67</v>
      </c>
      <c r="F31" t="s">
        <v>61</v>
      </c>
      <c r="G31" t="s">
        <v>60</v>
      </c>
      <c r="H31" t="s">
        <v>59</v>
      </c>
      <c r="I31" t="s">
        <v>60</v>
      </c>
      <c r="J31" t="s">
        <v>59</v>
      </c>
      <c r="K31" t="s">
        <v>59</v>
      </c>
      <c r="L31" t="s">
        <v>60</v>
      </c>
      <c r="M31" t="s">
        <v>59</v>
      </c>
      <c r="N31" t="s">
        <v>62</v>
      </c>
      <c r="O31" cm="1">
        <f t="array" ref="O31">SUMPRODUCT(--(TRIM(F31:N31)="Yes"))</f>
        <v>5</v>
      </c>
    </row>
    <row r="32" spans="1:15" x14ac:dyDescent="0.35">
      <c r="A32" t="s">
        <v>42</v>
      </c>
      <c r="B32" s="2">
        <v>33881</v>
      </c>
      <c r="C32" s="3">
        <f t="shared" ca="1" si="0"/>
        <v>32</v>
      </c>
      <c r="D32" s="3" t="str">
        <f t="shared" ca="1" si="1"/>
        <v>25–34</v>
      </c>
      <c r="E32" t="s">
        <v>64</v>
      </c>
      <c r="F32" t="s">
        <v>61</v>
      </c>
      <c r="G32" t="s">
        <v>60</v>
      </c>
      <c r="H32" t="s">
        <v>60</v>
      </c>
      <c r="I32" t="s">
        <v>59</v>
      </c>
      <c r="J32" t="s">
        <v>60</v>
      </c>
      <c r="K32" t="s">
        <v>59</v>
      </c>
      <c r="L32" t="s">
        <v>60</v>
      </c>
      <c r="M32" t="s">
        <v>59</v>
      </c>
      <c r="N32" t="s">
        <v>62</v>
      </c>
      <c r="O32" cm="1">
        <f t="array" ref="O32">SUMPRODUCT(--(TRIM(F32:N32)="Yes"))</f>
        <v>4</v>
      </c>
    </row>
    <row r="33" spans="1:15" x14ac:dyDescent="0.35">
      <c r="A33" t="s">
        <v>39</v>
      </c>
      <c r="B33" s="2">
        <v>33593</v>
      </c>
      <c r="C33" s="3">
        <f t="shared" ca="1" si="0"/>
        <v>33</v>
      </c>
      <c r="D33" s="3" t="str">
        <f t="shared" ca="1" si="1"/>
        <v>25–34</v>
      </c>
      <c r="E33" t="s">
        <v>64</v>
      </c>
      <c r="F33" t="s">
        <v>61</v>
      </c>
      <c r="G33" t="s">
        <v>59</v>
      </c>
      <c r="H33" t="s">
        <v>59</v>
      </c>
      <c r="I33" t="s">
        <v>59</v>
      </c>
      <c r="J33" t="s">
        <v>60</v>
      </c>
      <c r="K33" t="s">
        <v>60</v>
      </c>
      <c r="L33" t="s">
        <v>59</v>
      </c>
      <c r="M33" t="s">
        <v>60</v>
      </c>
      <c r="N33" t="s">
        <v>62</v>
      </c>
      <c r="O33" cm="1">
        <f t="array" ref="O33">SUMPRODUCT(--(TRIM(F33:N33)="Yes"))</f>
        <v>5</v>
      </c>
    </row>
    <row r="34" spans="1:15" x14ac:dyDescent="0.35">
      <c r="A34" t="s">
        <v>43</v>
      </c>
      <c r="B34" s="2">
        <v>21803</v>
      </c>
      <c r="C34" s="3">
        <f t="shared" ref="C34:C51" ca="1" si="2">DATEDIF(B34, TODAY(), "Y")</f>
        <v>65</v>
      </c>
      <c r="D34" s="3" t="str">
        <f t="shared" ref="D34:D51" ca="1" si="3">IF(C34&lt;25, "&lt;25", IF(C34&lt;=34, "25–34", IF(C34&lt;=44, "35–44", IF(C34&lt;=54, "45–54", "55+"))))</f>
        <v>55+</v>
      </c>
      <c r="E34" t="s">
        <v>65</v>
      </c>
      <c r="F34" t="s">
        <v>61</v>
      </c>
      <c r="G34" t="s">
        <v>59</v>
      </c>
      <c r="H34" t="s">
        <v>60</v>
      </c>
      <c r="I34" t="s">
        <v>60</v>
      </c>
      <c r="J34" t="s">
        <v>59</v>
      </c>
      <c r="K34" t="s">
        <v>59</v>
      </c>
      <c r="L34" t="s">
        <v>60</v>
      </c>
      <c r="M34" t="s">
        <v>59</v>
      </c>
      <c r="N34" t="s">
        <v>62</v>
      </c>
      <c r="O34" cm="1">
        <f t="array" ref="O34">SUMPRODUCT(--(TRIM(F34:N34)="Yes"))</f>
        <v>5</v>
      </c>
    </row>
    <row r="35" spans="1:15" x14ac:dyDescent="0.35">
      <c r="A35" t="s">
        <v>37</v>
      </c>
      <c r="B35" s="2">
        <v>15680</v>
      </c>
      <c r="C35" s="3">
        <f t="shared" ca="1" si="2"/>
        <v>82</v>
      </c>
      <c r="D35" s="3" t="str">
        <f t="shared" ca="1" si="3"/>
        <v>55+</v>
      </c>
      <c r="E35" t="s">
        <v>65</v>
      </c>
      <c r="F35" t="s">
        <v>61</v>
      </c>
      <c r="G35" t="s">
        <v>60</v>
      </c>
      <c r="H35" t="s">
        <v>59</v>
      </c>
      <c r="I35" t="s">
        <v>59</v>
      </c>
      <c r="J35" t="s">
        <v>59</v>
      </c>
      <c r="K35" t="s">
        <v>60</v>
      </c>
      <c r="L35" t="s">
        <v>59</v>
      </c>
      <c r="M35" t="s">
        <v>60</v>
      </c>
      <c r="N35" t="s">
        <v>62</v>
      </c>
      <c r="O35" cm="1">
        <f t="array" ref="O35">SUMPRODUCT(--(TRIM(F35:N35)="Yes"))</f>
        <v>5</v>
      </c>
    </row>
    <row r="36" spans="1:15" x14ac:dyDescent="0.35">
      <c r="A36" t="s">
        <v>44</v>
      </c>
      <c r="B36" s="2">
        <v>14841</v>
      </c>
      <c r="C36" s="3">
        <f t="shared" ca="1" si="2"/>
        <v>84</v>
      </c>
      <c r="D36" s="3" t="str">
        <f t="shared" ca="1" si="3"/>
        <v>55+</v>
      </c>
      <c r="E36" t="s">
        <v>64</v>
      </c>
      <c r="F36" t="s">
        <v>61</v>
      </c>
      <c r="G36" t="s">
        <v>59</v>
      </c>
      <c r="H36" t="s">
        <v>60</v>
      </c>
      <c r="I36" t="s">
        <v>59</v>
      </c>
      <c r="J36" t="s">
        <v>60</v>
      </c>
      <c r="K36" t="s">
        <v>60</v>
      </c>
      <c r="L36" t="s">
        <v>59</v>
      </c>
      <c r="M36" t="s">
        <v>60</v>
      </c>
      <c r="N36" t="s">
        <v>62</v>
      </c>
      <c r="O36" cm="1">
        <f t="array" ref="O36">SUMPRODUCT(--(TRIM(F36:N36)="Yes"))</f>
        <v>4</v>
      </c>
    </row>
    <row r="37" spans="1:15" x14ac:dyDescent="0.35">
      <c r="A37" t="s">
        <v>45</v>
      </c>
      <c r="B37" s="2">
        <v>15257</v>
      </c>
      <c r="C37" s="3">
        <f t="shared" ca="1" si="2"/>
        <v>83</v>
      </c>
      <c r="D37" s="3" t="str">
        <f t="shared" ca="1" si="3"/>
        <v>55+</v>
      </c>
      <c r="E37" t="s">
        <v>63</v>
      </c>
      <c r="F37" t="s">
        <v>61</v>
      </c>
      <c r="G37" t="s">
        <v>60</v>
      </c>
      <c r="H37" t="s">
        <v>59</v>
      </c>
      <c r="I37" t="s">
        <v>60</v>
      </c>
      <c r="J37" t="s">
        <v>59</v>
      </c>
      <c r="K37" t="s">
        <v>59</v>
      </c>
      <c r="L37" t="s">
        <v>60</v>
      </c>
      <c r="M37" t="s">
        <v>59</v>
      </c>
      <c r="N37" t="s">
        <v>62</v>
      </c>
      <c r="O37" cm="1">
        <f t="array" ref="O37">SUMPRODUCT(--(TRIM(F37:N37)="Yes"))</f>
        <v>5</v>
      </c>
    </row>
    <row r="38" spans="1:15" x14ac:dyDescent="0.35">
      <c r="A38" t="s">
        <v>46</v>
      </c>
      <c r="B38" s="2">
        <v>31862</v>
      </c>
      <c r="C38" s="3">
        <f t="shared" ca="1" si="2"/>
        <v>38</v>
      </c>
      <c r="D38" s="3" t="str">
        <f t="shared" ca="1" si="3"/>
        <v>35–44</v>
      </c>
      <c r="E38" t="s">
        <v>63</v>
      </c>
      <c r="F38" t="s">
        <v>61</v>
      </c>
      <c r="G38" t="s">
        <v>60</v>
      </c>
      <c r="H38" t="s">
        <v>59</v>
      </c>
      <c r="I38" t="s">
        <v>60</v>
      </c>
      <c r="J38" t="s">
        <v>60</v>
      </c>
      <c r="K38" t="s">
        <v>59</v>
      </c>
      <c r="L38" t="s">
        <v>59</v>
      </c>
      <c r="M38" t="s">
        <v>59</v>
      </c>
      <c r="N38" t="s">
        <v>62</v>
      </c>
      <c r="O38" cm="1">
        <f t="array" ref="O38">SUMPRODUCT(--(TRIM(F38:N38)="Yes"))</f>
        <v>5</v>
      </c>
    </row>
    <row r="39" spans="1:15" x14ac:dyDescent="0.35">
      <c r="A39" t="s">
        <v>47</v>
      </c>
      <c r="B39" s="2">
        <v>26926</v>
      </c>
      <c r="C39" s="3">
        <f t="shared" ca="1" si="2"/>
        <v>51</v>
      </c>
      <c r="D39" s="3" t="str">
        <f t="shared" ca="1" si="3"/>
        <v>45–54</v>
      </c>
      <c r="E39" t="s">
        <v>67</v>
      </c>
      <c r="F39" t="s">
        <v>61</v>
      </c>
      <c r="G39" t="s">
        <v>59</v>
      </c>
      <c r="H39" t="s">
        <v>60</v>
      </c>
      <c r="I39" t="s">
        <v>59</v>
      </c>
      <c r="J39" t="s">
        <v>59</v>
      </c>
      <c r="K39" t="s">
        <v>60</v>
      </c>
      <c r="L39" t="s">
        <v>60</v>
      </c>
      <c r="M39" t="s">
        <v>60</v>
      </c>
      <c r="N39" t="s">
        <v>62</v>
      </c>
      <c r="O39" cm="1">
        <f t="array" ref="O39">SUMPRODUCT(--(TRIM(F39:N39)="Yes"))</f>
        <v>4</v>
      </c>
    </row>
    <row r="40" spans="1:15" x14ac:dyDescent="0.35">
      <c r="A40" t="s">
        <v>48</v>
      </c>
      <c r="B40" s="2">
        <v>14701</v>
      </c>
      <c r="C40" s="3">
        <f t="shared" ca="1" si="2"/>
        <v>85</v>
      </c>
      <c r="D40" s="3" t="str">
        <f t="shared" ca="1" si="3"/>
        <v>55+</v>
      </c>
      <c r="E40" t="s">
        <v>63</v>
      </c>
      <c r="F40" t="s">
        <v>61</v>
      </c>
      <c r="G40" t="s">
        <v>59</v>
      </c>
      <c r="H40" t="s">
        <v>60</v>
      </c>
      <c r="I40" t="s">
        <v>60</v>
      </c>
      <c r="J40" t="s">
        <v>60</v>
      </c>
      <c r="K40" t="s">
        <v>59</v>
      </c>
      <c r="L40" t="s">
        <v>60</v>
      </c>
      <c r="M40" t="s">
        <v>60</v>
      </c>
      <c r="N40" t="s">
        <v>62</v>
      </c>
      <c r="O40" cm="1">
        <f t="array" ref="O40">SUMPRODUCT(--(TRIM(F40:N40)="Yes"))</f>
        <v>3</v>
      </c>
    </row>
    <row r="41" spans="1:15" x14ac:dyDescent="0.35">
      <c r="A41" t="s">
        <v>49</v>
      </c>
      <c r="B41" s="2">
        <v>20345</v>
      </c>
      <c r="C41" s="3">
        <f t="shared" ca="1" si="2"/>
        <v>69</v>
      </c>
      <c r="D41" s="3" t="str">
        <f t="shared" ca="1" si="3"/>
        <v>55+</v>
      </c>
      <c r="E41" t="s">
        <v>64</v>
      </c>
      <c r="F41" t="s">
        <v>61</v>
      </c>
      <c r="G41" t="s">
        <v>60</v>
      </c>
      <c r="H41" t="s">
        <v>59</v>
      </c>
      <c r="I41" t="s">
        <v>59</v>
      </c>
      <c r="J41" t="s">
        <v>60</v>
      </c>
      <c r="K41" t="s">
        <v>60</v>
      </c>
      <c r="L41" t="s">
        <v>59</v>
      </c>
      <c r="M41" t="s">
        <v>59</v>
      </c>
      <c r="N41" t="s">
        <v>62</v>
      </c>
      <c r="O41" cm="1">
        <f t="array" ref="O41">SUMPRODUCT(--(TRIM(F41:N41)="Yes"))</f>
        <v>5</v>
      </c>
    </row>
    <row r="42" spans="1:15" x14ac:dyDescent="0.35">
      <c r="A42" t="s">
        <v>50</v>
      </c>
      <c r="B42" s="2">
        <v>25333</v>
      </c>
      <c r="C42" s="3">
        <f t="shared" ca="1" si="2"/>
        <v>56</v>
      </c>
      <c r="D42" s="3" t="str">
        <f t="shared" ca="1" si="3"/>
        <v>55+</v>
      </c>
      <c r="E42" t="s">
        <v>64</v>
      </c>
      <c r="F42" t="s">
        <v>61</v>
      </c>
      <c r="G42" t="s">
        <v>59</v>
      </c>
      <c r="H42" t="s">
        <v>59</v>
      </c>
      <c r="I42" t="s">
        <v>59</v>
      </c>
      <c r="J42" t="s">
        <v>59</v>
      </c>
      <c r="K42" t="s">
        <v>59</v>
      </c>
      <c r="L42" t="s">
        <v>59</v>
      </c>
      <c r="M42" t="s">
        <v>60</v>
      </c>
      <c r="N42" t="s">
        <v>62</v>
      </c>
      <c r="O42" cm="1">
        <f t="array" ref="O42">SUMPRODUCT(--(TRIM(F42:N42)="Yes"))</f>
        <v>7</v>
      </c>
    </row>
    <row r="43" spans="1:15" x14ac:dyDescent="0.35">
      <c r="A43" t="s">
        <v>51</v>
      </c>
      <c r="B43" s="2">
        <v>38679</v>
      </c>
      <c r="C43" s="3">
        <f t="shared" ca="1" si="2"/>
        <v>19</v>
      </c>
      <c r="D43" s="3" t="str">
        <f t="shared" ca="1" si="3"/>
        <v>&lt;25</v>
      </c>
      <c r="E43" t="s">
        <v>66</v>
      </c>
      <c r="F43" t="s">
        <v>61</v>
      </c>
      <c r="G43" t="s">
        <v>59</v>
      </c>
      <c r="H43" t="s">
        <v>60</v>
      </c>
      <c r="I43" t="s">
        <v>60</v>
      </c>
      <c r="J43" t="s">
        <v>59</v>
      </c>
      <c r="K43" t="s">
        <v>60</v>
      </c>
      <c r="L43" t="s">
        <v>60</v>
      </c>
      <c r="M43" t="s">
        <v>59</v>
      </c>
      <c r="N43" t="s">
        <v>62</v>
      </c>
      <c r="O43" cm="1">
        <f t="array" ref="O43">SUMPRODUCT(--(TRIM(F43:N43)="Yes"))</f>
        <v>4</v>
      </c>
    </row>
    <row r="44" spans="1:15" x14ac:dyDescent="0.35">
      <c r="A44" t="s">
        <v>52</v>
      </c>
      <c r="B44" s="2">
        <v>31698</v>
      </c>
      <c r="C44" s="3">
        <f t="shared" ca="1" si="2"/>
        <v>38</v>
      </c>
      <c r="D44" s="3" t="str">
        <f t="shared" ca="1" si="3"/>
        <v>35–44</v>
      </c>
      <c r="E44" t="s">
        <v>64</v>
      </c>
      <c r="F44" t="s">
        <v>61</v>
      </c>
      <c r="G44" t="s">
        <v>60</v>
      </c>
      <c r="H44" t="s">
        <v>60</v>
      </c>
      <c r="I44" t="s">
        <v>59</v>
      </c>
      <c r="J44" t="s">
        <v>60</v>
      </c>
      <c r="K44" t="s">
        <v>59</v>
      </c>
      <c r="L44" t="s">
        <v>60</v>
      </c>
      <c r="M44" t="s">
        <v>59</v>
      </c>
      <c r="N44" t="s">
        <v>62</v>
      </c>
      <c r="O44" cm="1">
        <f t="array" ref="O44">SUMPRODUCT(--(TRIM(F44:N44)="Yes"))</f>
        <v>4</v>
      </c>
    </row>
    <row r="45" spans="1:15" x14ac:dyDescent="0.35">
      <c r="A45" t="s">
        <v>53</v>
      </c>
      <c r="B45" s="2">
        <v>15312</v>
      </c>
      <c r="C45" s="3">
        <f t="shared" ca="1" si="2"/>
        <v>83</v>
      </c>
      <c r="D45" s="3" t="str">
        <f t="shared" ca="1" si="3"/>
        <v>55+</v>
      </c>
      <c r="E45" t="s">
        <v>63</v>
      </c>
      <c r="F45" t="s">
        <v>61</v>
      </c>
      <c r="G45" t="s">
        <v>60</v>
      </c>
      <c r="H45" t="s">
        <v>59</v>
      </c>
      <c r="I45" t="s">
        <v>60</v>
      </c>
      <c r="J45" t="s">
        <v>59</v>
      </c>
      <c r="K45" t="s">
        <v>59</v>
      </c>
      <c r="L45" t="s">
        <v>59</v>
      </c>
      <c r="M45" t="s">
        <v>60</v>
      </c>
      <c r="N45" t="s">
        <v>62</v>
      </c>
      <c r="O45" cm="1">
        <f t="array" ref="O45">SUMPRODUCT(--(TRIM(F45:N45)="Yes"))</f>
        <v>5</v>
      </c>
    </row>
    <row r="46" spans="1:15" x14ac:dyDescent="0.35">
      <c r="A46" t="s">
        <v>54</v>
      </c>
      <c r="B46" s="2">
        <v>27833</v>
      </c>
      <c r="C46" s="3">
        <f t="shared" ca="1" si="2"/>
        <v>49</v>
      </c>
      <c r="D46" s="3" t="str">
        <f t="shared" ca="1" si="3"/>
        <v>45–54</v>
      </c>
      <c r="E46" t="s">
        <v>67</v>
      </c>
      <c r="F46" t="s">
        <v>61</v>
      </c>
      <c r="G46" t="s">
        <v>59</v>
      </c>
      <c r="H46" t="s">
        <v>60</v>
      </c>
      <c r="I46" t="s">
        <v>59</v>
      </c>
      <c r="J46" t="s">
        <v>60</v>
      </c>
      <c r="K46" t="s">
        <v>60</v>
      </c>
      <c r="L46" t="s">
        <v>59</v>
      </c>
      <c r="M46" t="s">
        <v>59</v>
      </c>
      <c r="N46" t="s">
        <v>62</v>
      </c>
      <c r="O46" cm="1">
        <f t="array" ref="O46">SUMPRODUCT(--(TRIM(F46:N46)="Yes"))</f>
        <v>5</v>
      </c>
    </row>
    <row r="47" spans="1:15" x14ac:dyDescent="0.35">
      <c r="A47" t="s">
        <v>44</v>
      </c>
      <c r="B47" s="2">
        <v>24558</v>
      </c>
      <c r="C47" s="3">
        <f t="shared" ca="1" si="2"/>
        <v>58</v>
      </c>
      <c r="D47" s="3" t="str">
        <f t="shared" ca="1" si="3"/>
        <v>55+</v>
      </c>
      <c r="E47" t="s">
        <v>66</v>
      </c>
      <c r="F47" t="s">
        <v>61</v>
      </c>
      <c r="G47" t="s">
        <v>60</v>
      </c>
      <c r="H47" t="s">
        <v>59</v>
      </c>
      <c r="I47" t="s">
        <v>60</v>
      </c>
      <c r="J47" t="s">
        <v>60</v>
      </c>
      <c r="K47" t="s">
        <v>60</v>
      </c>
      <c r="L47" t="s">
        <v>60</v>
      </c>
      <c r="M47" t="s">
        <v>60</v>
      </c>
      <c r="N47" t="s">
        <v>61</v>
      </c>
      <c r="O47" cm="1">
        <f t="array" ref="O47">SUMPRODUCT(--(TRIM(F47:N47)="Yes"))</f>
        <v>3</v>
      </c>
    </row>
    <row r="48" spans="1:15" x14ac:dyDescent="0.35">
      <c r="A48" t="s">
        <v>55</v>
      </c>
      <c r="B48" s="2">
        <v>32882</v>
      </c>
      <c r="C48" s="3">
        <f t="shared" ca="1" si="2"/>
        <v>35</v>
      </c>
      <c r="D48" s="3" t="str">
        <f t="shared" ca="1" si="3"/>
        <v>35–44</v>
      </c>
      <c r="E48" t="s">
        <v>63</v>
      </c>
      <c r="F48" t="s">
        <v>61</v>
      </c>
      <c r="G48" t="s">
        <v>59</v>
      </c>
      <c r="H48" t="s">
        <v>60</v>
      </c>
      <c r="I48" t="s">
        <v>59</v>
      </c>
      <c r="J48" t="s">
        <v>59</v>
      </c>
      <c r="K48" t="s">
        <v>59</v>
      </c>
      <c r="L48" t="s">
        <v>59</v>
      </c>
      <c r="M48" t="s">
        <v>59</v>
      </c>
      <c r="N48" t="s">
        <v>62</v>
      </c>
      <c r="O48" cm="1">
        <f t="array" ref="O48">SUMPRODUCT(--(TRIM(F48:N48)="Yes"))</f>
        <v>7</v>
      </c>
    </row>
    <row r="49" spans="1:15" x14ac:dyDescent="0.35">
      <c r="A49" t="s">
        <v>56</v>
      </c>
      <c r="B49" s="2">
        <v>34395</v>
      </c>
      <c r="C49" s="3">
        <f t="shared" ca="1" si="2"/>
        <v>31</v>
      </c>
      <c r="D49" s="3" t="str">
        <f t="shared" ca="1" si="3"/>
        <v>25–34</v>
      </c>
      <c r="E49" t="s">
        <v>67</v>
      </c>
      <c r="F49" t="s">
        <v>61</v>
      </c>
      <c r="G49" t="s">
        <v>60</v>
      </c>
      <c r="H49" t="s">
        <v>59</v>
      </c>
      <c r="I49" t="s">
        <v>60</v>
      </c>
      <c r="J49" t="s">
        <v>59</v>
      </c>
      <c r="K49" t="s">
        <v>60</v>
      </c>
      <c r="L49" t="s">
        <v>60</v>
      </c>
      <c r="M49" t="s">
        <v>59</v>
      </c>
      <c r="N49" t="s">
        <v>62</v>
      </c>
      <c r="O49" cm="1">
        <f t="array" ref="O49">SUMPRODUCT(--(TRIM(F49:N49)="Yes"))</f>
        <v>4</v>
      </c>
    </row>
    <row r="50" spans="1:15" x14ac:dyDescent="0.35">
      <c r="A50" t="s">
        <v>57</v>
      </c>
      <c r="B50" s="2">
        <v>29339</v>
      </c>
      <c r="C50" s="3">
        <f t="shared" ca="1" si="2"/>
        <v>45</v>
      </c>
      <c r="D50" s="3" t="str">
        <f t="shared" ca="1" si="3"/>
        <v>45–54</v>
      </c>
      <c r="E50" t="s">
        <v>63</v>
      </c>
      <c r="F50" t="s">
        <v>61</v>
      </c>
      <c r="G50" t="s">
        <v>59</v>
      </c>
      <c r="H50" t="s">
        <v>59</v>
      </c>
      <c r="I50" t="s">
        <v>59</v>
      </c>
      <c r="J50" t="s">
        <v>60</v>
      </c>
      <c r="K50" t="s">
        <v>59</v>
      </c>
      <c r="L50" t="s">
        <v>59</v>
      </c>
      <c r="M50" t="s">
        <v>60</v>
      </c>
      <c r="N50" t="s">
        <v>62</v>
      </c>
      <c r="O50" cm="1">
        <f t="array" ref="O50">SUMPRODUCT(--(TRIM(F50:N50)="Yes"))</f>
        <v>6</v>
      </c>
    </row>
    <row r="51" spans="1:15" x14ac:dyDescent="0.35">
      <c r="A51" t="s">
        <v>58</v>
      </c>
      <c r="B51" s="2">
        <v>36823</v>
      </c>
      <c r="C51" s="3">
        <f t="shared" ca="1" si="2"/>
        <v>24</v>
      </c>
      <c r="D51" s="3" t="str">
        <f t="shared" ca="1" si="3"/>
        <v>&lt;25</v>
      </c>
      <c r="E51" t="s">
        <v>66</v>
      </c>
      <c r="F51" t="s">
        <v>61</v>
      </c>
      <c r="G51" t="s">
        <v>60</v>
      </c>
      <c r="H51" t="s">
        <v>60</v>
      </c>
      <c r="I51" t="s">
        <v>60</v>
      </c>
      <c r="J51" t="s">
        <v>59</v>
      </c>
      <c r="K51" t="s">
        <v>59</v>
      </c>
      <c r="L51" t="s">
        <v>60</v>
      </c>
      <c r="M51" t="s">
        <v>60</v>
      </c>
      <c r="N51" t="s">
        <v>62</v>
      </c>
      <c r="O51" cm="1">
        <f t="array" ref="O51">SUMPRODUCT(--(TRIM(F51:N51)="Yes"))</f>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F0A8D-6615-4E69-8097-FBA0406A3159}">
  <dimension ref="A1:I9"/>
  <sheetViews>
    <sheetView topLeftCell="A8" workbookViewId="0">
      <selection activeCell="I14" sqref="F14:I14"/>
    </sheetView>
  </sheetViews>
  <sheetFormatPr defaultRowHeight="14.5" x14ac:dyDescent="0.35"/>
  <cols>
    <col min="1" max="1" width="19.81640625" bestFit="1" customWidth="1"/>
    <col min="2" max="2" width="8.26953125" bestFit="1" customWidth="1"/>
    <col min="3" max="3" width="12.453125" bestFit="1" customWidth="1"/>
    <col min="4" max="4" width="4.54296875" bestFit="1" customWidth="1"/>
    <col min="5" max="5" width="14.36328125" bestFit="1" customWidth="1"/>
    <col min="6" max="6" width="21.81640625" bestFit="1" customWidth="1"/>
    <col min="7" max="7" width="13.453125" bestFit="1" customWidth="1"/>
    <col min="8" max="8" width="9.1796875" bestFit="1" customWidth="1"/>
    <col min="9" max="9" width="13.90625" bestFit="1" customWidth="1"/>
  </cols>
  <sheetData>
    <row r="1" spans="1:9" x14ac:dyDescent="0.35">
      <c r="A1" s="4" t="s">
        <v>7</v>
      </c>
      <c r="B1" t="s">
        <v>59</v>
      </c>
    </row>
    <row r="3" spans="1:9" x14ac:dyDescent="0.35">
      <c r="A3" s="4" t="s">
        <v>68</v>
      </c>
      <c r="B3" t="s">
        <v>88</v>
      </c>
      <c r="C3" t="s">
        <v>89</v>
      </c>
      <c r="D3" t="s">
        <v>90</v>
      </c>
      <c r="E3" t="s">
        <v>91</v>
      </c>
      <c r="F3" t="s">
        <v>92</v>
      </c>
      <c r="G3" t="s">
        <v>93</v>
      </c>
      <c r="H3" t="s">
        <v>94</v>
      </c>
      <c r="I3" t="s">
        <v>95</v>
      </c>
    </row>
    <row r="4" spans="1:9" x14ac:dyDescent="0.35">
      <c r="A4" s="5" t="s">
        <v>63</v>
      </c>
      <c r="B4">
        <v>8</v>
      </c>
      <c r="C4">
        <v>8</v>
      </c>
      <c r="D4">
        <v>8</v>
      </c>
      <c r="E4">
        <v>8</v>
      </c>
      <c r="F4">
        <v>8</v>
      </c>
      <c r="G4">
        <v>8</v>
      </c>
      <c r="H4">
        <v>8</v>
      </c>
      <c r="I4">
        <v>8</v>
      </c>
    </row>
    <row r="5" spans="1:9" x14ac:dyDescent="0.35">
      <c r="A5" s="5" t="s">
        <v>66</v>
      </c>
      <c r="B5">
        <v>3</v>
      </c>
      <c r="C5">
        <v>3</v>
      </c>
      <c r="D5">
        <v>3</v>
      </c>
      <c r="E5">
        <v>3</v>
      </c>
      <c r="F5">
        <v>3</v>
      </c>
      <c r="G5">
        <v>3</v>
      </c>
      <c r="H5">
        <v>3</v>
      </c>
      <c r="I5">
        <v>3</v>
      </c>
    </row>
    <row r="6" spans="1:9" x14ac:dyDescent="0.35">
      <c r="A6" s="5" t="s">
        <v>64</v>
      </c>
      <c r="B6">
        <v>6</v>
      </c>
      <c r="C6">
        <v>6</v>
      </c>
      <c r="D6">
        <v>6</v>
      </c>
      <c r="E6">
        <v>6</v>
      </c>
      <c r="F6">
        <v>6</v>
      </c>
      <c r="G6">
        <v>6</v>
      </c>
      <c r="H6">
        <v>6</v>
      </c>
      <c r="I6">
        <v>6</v>
      </c>
    </row>
    <row r="7" spans="1:9" x14ac:dyDescent="0.35">
      <c r="A7" s="5" t="s">
        <v>65</v>
      </c>
      <c r="B7">
        <v>5</v>
      </c>
      <c r="C7">
        <v>5</v>
      </c>
      <c r="D7">
        <v>5</v>
      </c>
      <c r="E7">
        <v>5</v>
      </c>
      <c r="F7">
        <v>5</v>
      </c>
      <c r="G7">
        <v>5</v>
      </c>
      <c r="H7">
        <v>5</v>
      </c>
      <c r="I7">
        <v>5</v>
      </c>
    </row>
    <row r="8" spans="1:9" x14ac:dyDescent="0.35">
      <c r="A8" s="5" t="s">
        <v>67</v>
      </c>
      <c r="B8">
        <v>4</v>
      </c>
      <c r="C8">
        <v>4</v>
      </c>
      <c r="D8">
        <v>4</v>
      </c>
      <c r="E8">
        <v>4</v>
      </c>
      <c r="F8">
        <v>4</v>
      </c>
      <c r="G8">
        <v>4</v>
      </c>
      <c r="H8">
        <v>4</v>
      </c>
      <c r="I8">
        <v>4</v>
      </c>
    </row>
    <row r="9" spans="1:9" x14ac:dyDescent="0.35">
      <c r="A9" s="5" t="s">
        <v>69</v>
      </c>
      <c r="B9">
        <v>26</v>
      </c>
      <c r="C9">
        <v>26</v>
      </c>
      <c r="D9">
        <v>26</v>
      </c>
      <c r="E9">
        <v>26</v>
      </c>
      <c r="F9">
        <v>26</v>
      </c>
      <c r="G9">
        <v>26</v>
      </c>
      <c r="H9">
        <v>26</v>
      </c>
      <c r="I9">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3800A-D563-4094-A850-51F48D1478CC}">
  <dimension ref="A1:O51"/>
  <sheetViews>
    <sheetView topLeftCell="J2" workbookViewId="0">
      <selection activeCell="O2" sqref="O2"/>
    </sheetView>
  </sheetViews>
  <sheetFormatPr defaultRowHeight="14.5" x14ac:dyDescent="0.35"/>
  <cols>
    <col min="1" max="1" width="15.26953125" bestFit="1" customWidth="1"/>
    <col min="2" max="2" width="14.54296875" bestFit="1" customWidth="1"/>
    <col min="3" max="3" width="6.1796875" bestFit="1" customWidth="1"/>
    <col min="4" max="4" width="11.90625" bestFit="1" customWidth="1"/>
    <col min="5" max="6" width="19.81640625" bestFit="1" customWidth="1"/>
    <col min="7" max="7" width="18.81640625" bestFit="1" customWidth="1"/>
    <col min="8" max="8" width="19.54296875" bestFit="1" customWidth="1"/>
    <col min="9" max="9" width="16.54296875" bestFit="1" customWidth="1"/>
    <col min="10" max="10" width="25.6328125" bestFit="1" customWidth="1"/>
    <col min="11" max="11" width="19.54296875" bestFit="1" customWidth="1"/>
    <col min="12" max="12" width="26" bestFit="1" customWidth="1"/>
    <col min="13" max="13" width="32.1796875" bestFit="1" customWidth="1"/>
    <col min="14" max="14" width="18.90625" bestFit="1" customWidth="1"/>
    <col min="15" max="15" width="13.90625" bestFit="1" customWidth="1"/>
  </cols>
  <sheetData>
    <row r="1" spans="1:15" x14ac:dyDescent="0.35">
      <c r="A1" t="s">
        <v>0</v>
      </c>
      <c r="B1" t="s">
        <v>1</v>
      </c>
      <c r="C1" t="s">
        <v>2</v>
      </c>
      <c r="D1" t="s">
        <v>80</v>
      </c>
      <c r="E1" t="s">
        <v>3</v>
      </c>
      <c r="F1" t="s">
        <v>4</v>
      </c>
      <c r="G1" t="s">
        <v>5</v>
      </c>
      <c r="H1" t="s">
        <v>6</v>
      </c>
      <c r="I1" t="s">
        <v>7</v>
      </c>
      <c r="J1" t="s">
        <v>8</v>
      </c>
      <c r="K1" t="s">
        <v>9</v>
      </c>
      <c r="L1" t="s">
        <v>10</v>
      </c>
      <c r="M1" t="s">
        <v>11</v>
      </c>
      <c r="N1" t="s">
        <v>12</v>
      </c>
      <c r="O1" t="s">
        <v>86</v>
      </c>
    </row>
    <row r="2" spans="1:15" x14ac:dyDescent="0.35">
      <c r="A2" t="s">
        <v>13</v>
      </c>
      <c r="B2" s="6">
        <v>21422</v>
      </c>
      <c r="C2">
        <v>66</v>
      </c>
      <c r="D2" t="s">
        <v>85</v>
      </c>
      <c r="E2" t="s">
        <v>63</v>
      </c>
      <c r="F2" t="s">
        <v>61</v>
      </c>
      <c r="G2" t="s">
        <v>61</v>
      </c>
      <c r="H2" t="s">
        <v>61</v>
      </c>
      <c r="I2" t="s">
        <v>62</v>
      </c>
      <c r="J2" t="s">
        <v>61</v>
      </c>
      <c r="K2" t="s">
        <v>62</v>
      </c>
      <c r="L2" t="s">
        <v>61</v>
      </c>
      <c r="M2" t="s">
        <v>62</v>
      </c>
      <c r="N2" t="s">
        <v>62</v>
      </c>
      <c r="O2" cm="1">
        <f t="array" ref="O2">SUMPRODUCT(--(F2:N2="Yes"))</f>
        <v>5</v>
      </c>
    </row>
    <row r="3" spans="1:15" x14ac:dyDescent="0.35">
      <c r="A3" t="s">
        <v>14</v>
      </c>
      <c r="B3" s="6">
        <v>35861</v>
      </c>
      <c r="C3">
        <v>27</v>
      </c>
      <c r="D3" t="s">
        <v>82</v>
      </c>
      <c r="E3" t="s">
        <v>63</v>
      </c>
      <c r="F3" t="s">
        <v>61</v>
      </c>
      <c r="G3" t="s">
        <v>62</v>
      </c>
      <c r="H3" t="s">
        <v>62</v>
      </c>
      <c r="I3" t="s">
        <v>61</v>
      </c>
      <c r="J3" t="s">
        <v>62</v>
      </c>
      <c r="K3" t="s">
        <v>61</v>
      </c>
      <c r="L3" t="s">
        <v>62</v>
      </c>
      <c r="M3" t="s">
        <v>61</v>
      </c>
      <c r="N3" t="s">
        <v>62</v>
      </c>
      <c r="O3" cm="1">
        <f t="array" ref="O3">SUMPRODUCT(--(F3:N3="Yes"))</f>
        <v>4</v>
      </c>
    </row>
    <row r="4" spans="1:15" x14ac:dyDescent="0.35">
      <c r="A4" t="s">
        <v>15</v>
      </c>
      <c r="B4" s="6">
        <v>20575</v>
      </c>
      <c r="C4">
        <v>69</v>
      </c>
      <c r="D4" t="s">
        <v>85</v>
      </c>
      <c r="E4" t="s">
        <v>64</v>
      </c>
      <c r="F4" t="s">
        <v>61</v>
      </c>
      <c r="G4" t="s">
        <v>61</v>
      </c>
      <c r="H4" t="s">
        <v>61</v>
      </c>
      <c r="I4" t="s">
        <v>62</v>
      </c>
      <c r="J4" t="s">
        <v>62</v>
      </c>
      <c r="K4" t="s">
        <v>61</v>
      </c>
      <c r="L4" t="s">
        <v>62</v>
      </c>
      <c r="M4" t="s">
        <v>61</v>
      </c>
      <c r="N4" t="s">
        <v>62</v>
      </c>
      <c r="O4" cm="1">
        <f t="array" ref="O4">SUMPRODUCT(--(F4:N4="Yes"))</f>
        <v>5</v>
      </c>
    </row>
    <row r="5" spans="1:15" x14ac:dyDescent="0.35">
      <c r="A5" t="s">
        <v>16</v>
      </c>
      <c r="B5" s="6">
        <v>17334</v>
      </c>
      <c r="C5">
        <v>78</v>
      </c>
      <c r="D5" t="s">
        <v>85</v>
      </c>
      <c r="E5" t="s">
        <v>65</v>
      </c>
      <c r="F5" t="s">
        <v>61</v>
      </c>
      <c r="G5" t="s">
        <v>61</v>
      </c>
      <c r="H5" t="s">
        <v>62</v>
      </c>
      <c r="I5" t="s">
        <v>61</v>
      </c>
      <c r="J5" t="s">
        <v>61</v>
      </c>
      <c r="K5" t="s">
        <v>62</v>
      </c>
      <c r="L5" t="s">
        <v>61</v>
      </c>
      <c r="M5" t="s">
        <v>62</v>
      </c>
      <c r="N5" t="s">
        <v>62</v>
      </c>
      <c r="O5" cm="1">
        <f t="array" ref="O5">SUMPRODUCT(--(F5:N5="Yes"))</f>
        <v>5</v>
      </c>
    </row>
    <row r="6" spans="1:15" x14ac:dyDescent="0.35">
      <c r="A6" t="s">
        <v>17</v>
      </c>
      <c r="B6" s="6">
        <v>38545</v>
      </c>
      <c r="C6">
        <v>20</v>
      </c>
      <c r="D6" t="s">
        <v>81</v>
      </c>
      <c r="E6" t="s">
        <v>65</v>
      </c>
      <c r="F6" t="s">
        <v>61</v>
      </c>
      <c r="G6" t="s">
        <v>62</v>
      </c>
      <c r="H6" t="s">
        <v>62</v>
      </c>
      <c r="I6" t="s">
        <v>61</v>
      </c>
      <c r="J6" t="s">
        <v>62</v>
      </c>
      <c r="K6" t="s">
        <v>61</v>
      </c>
      <c r="L6" t="s">
        <v>61</v>
      </c>
      <c r="M6" t="s">
        <v>61</v>
      </c>
      <c r="N6" t="s">
        <v>62</v>
      </c>
      <c r="O6" cm="1">
        <f t="array" ref="O6">SUMPRODUCT(--(F6:N6="Yes"))</f>
        <v>5</v>
      </c>
    </row>
    <row r="7" spans="1:15" x14ac:dyDescent="0.35">
      <c r="A7" t="s">
        <v>18</v>
      </c>
      <c r="B7" s="6">
        <v>29033</v>
      </c>
      <c r="C7">
        <v>46</v>
      </c>
      <c r="D7" t="s">
        <v>84</v>
      </c>
      <c r="E7" t="s">
        <v>65</v>
      </c>
      <c r="F7" t="s">
        <v>61</v>
      </c>
      <c r="G7" t="s">
        <v>61</v>
      </c>
      <c r="H7" t="s">
        <v>61</v>
      </c>
      <c r="I7" t="s">
        <v>62</v>
      </c>
      <c r="J7" t="s">
        <v>61</v>
      </c>
      <c r="K7" t="s">
        <v>62</v>
      </c>
      <c r="L7" t="s">
        <v>62</v>
      </c>
      <c r="M7" t="s">
        <v>61</v>
      </c>
      <c r="N7" t="s">
        <v>62</v>
      </c>
      <c r="O7" cm="1">
        <f t="array" ref="O7">SUMPRODUCT(--(F7:N7="Yes"))</f>
        <v>5</v>
      </c>
    </row>
    <row r="8" spans="1:15" x14ac:dyDescent="0.35">
      <c r="A8" t="s">
        <v>19</v>
      </c>
      <c r="B8" s="6">
        <v>35720</v>
      </c>
      <c r="C8">
        <v>27</v>
      </c>
      <c r="D8" t="s">
        <v>82</v>
      </c>
      <c r="E8" t="s">
        <v>63</v>
      </c>
      <c r="F8" t="s">
        <v>61</v>
      </c>
      <c r="G8" t="s">
        <v>62</v>
      </c>
      <c r="H8" t="s">
        <v>61</v>
      </c>
      <c r="I8" t="s">
        <v>62</v>
      </c>
      <c r="J8" t="s">
        <v>62</v>
      </c>
      <c r="K8" t="s">
        <v>61</v>
      </c>
      <c r="L8" t="s">
        <v>61</v>
      </c>
      <c r="M8" t="s">
        <v>62</v>
      </c>
      <c r="N8" t="s">
        <v>62</v>
      </c>
      <c r="O8" cm="1">
        <f t="array" ref="O8">SUMPRODUCT(--(F8:N8="Yes"))</f>
        <v>4</v>
      </c>
    </row>
    <row r="9" spans="1:15" x14ac:dyDescent="0.35">
      <c r="A9" t="s">
        <v>20</v>
      </c>
      <c r="B9" s="6">
        <v>33037</v>
      </c>
      <c r="C9">
        <v>35</v>
      </c>
      <c r="D9" t="s">
        <v>83</v>
      </c>
      <c r="E9" t="s">
        <v>66</v>
      </c>
      <c r="F9" t="s">
        <v>61</v>
      </c>
      <c r="G9" t="s">
        <v>62</v>
      </c>
      <c r="H9" t="s">
        <v>62</v>
      </c>
      <c r="I9" t="s">
        <v>61</v>
      </c>
      <c r="J9" t="s">
        <v>61</v>
      </c>
      <c r="K9" t="s">
        <v>61</v>
      </c>
      <c r="L9" t="s">
        <v>62</v>
      </c>
      <c r="M9" t="s">
        <v>61</v>
      </c>
      <c r="N9" t="s">
        <v>62</v>
      </c>
      <c r="O9" cm="1">
        <f t="array" ref="O9">SUMPRODUCT(--(F9:N9="Yes"))</f>
        <v>5</v>
      </c>
    </row>
    <row r="10" spans="1:15" x14ac:dyDescent="0.35">
      <c r="A10" t="s">
        <v>21</v>
      </c>
      <c r="B10" s="6">
        <v>36719</v>
      </c>
      <c r="C10">
        <v>25</v>
      </c>
      <c r="D10" t="s">
        <v>82</v>
      </c>
      <c r="E10" t="s">
        <v>63</v>
      </c>
      <c r="F10" t="s">
        <v>61</v>
      </c>
      <c r="G10" t="s">
        <v>61</v>
      </c>
      <c r="H10" t="s">
        <v>61</v>
      </c>
      <c r="I10" t="s">
        <v>61</v>
      </c>
      <c r="J10" t="s">
        <v>61</v>
      </c>
      <c r="K10" t="s">
        <v>62</v>
      </c>
      <c r="L10" t="s">
        <v>62</v>
      </c>
      <c r="M10" t="s">
        <v>62</v>
      </c>
      <c r="N10" t="s">
        <v>62</v>
      </c>
      <c r="O10" cm="1">
        <f t="array" ref="O10">SUMPRODUCT(--(F10:N10="Yes"))</f>
        <v>5</v>
      </c>
    </row>
    <row r="11" spans="1:15" x14ac:dyDescent="0.35">
      <c r="A11" t="s">
        <v>22</v>
      </c>
      <c r="B11" s="6">
        <v>28983</v>
      </c>
      <c r="C11">
        <v>46</v>
      </c>
      <c r="D11" t="s">
        <v>84</v>
      </c>
      <c r="E11" t="s">
        <v>66</v>
      </c>
      <c r="F11" t="s">
        <v>61</v>
      </c>
      <c r="G11" t="s">
        <v>61</v>
      </c>
      <c r="H11" t="s">
        <v>62</v>
      </c>
      <c r="I11" t="s">
        <v>62</v>
      </c>
      <c r="J11" t="s">
        <v>62</v>
      </c>
      <c r="K11" t="s">
        <v>62</v>
      </c>
      <c r="L11" t="s">
        <v>61</v>
      </c>
      <c r="M11" t="s">
        <v>62</v>
      </c>
      <c r="N11" t="s">
        <v>62</v>
      </c>
      <c r="O11" cm="1">
        <f t="array" ref="O11">SUMPRODUCT(--(F11:N11="Yes"))</f>
        <v>3</v>
      </c>
    </row>
    <row r="12" spans="1:15" x14ac:dyDescent="0.35">
      <c r="A12" t="s">
        <v>23</v>
      </c>
      <c r="B12" s="6">
        <v>28897</v>
      </c>
      <c r="C12">
        <v>46</v>
      </c>
      <c r="D12" t="s">
        <v>84</v>
      </c>
      <c r="E12" t="s">
        <v>67</v>
      </c>
      <c r="F12" t="s">
        <v>61</v>
      </c>
      <c r="G12" t="s">
        <v>62</v>
      </c>
      <c r="H12" t="s">
        <v>62</v>
      </c>
      <c r="I12" t="s">
        <v>61</v>
      </c>
      <c r="J12" t="s">
        <v>61</v>
      </c>
      <c r="K12" t="s">
        <v>61</v>
      </c>
      <c r="L12" t="s">
        <v>61</v>
      </c>
      <c r="M12" t="s">
        <v>61</v>
      </c>
      <c r="N12" t="s">
        <v>62</v>
      </c>
      <c r="O12" cm="1">
        <f t="array" ref="O12">SUMPRODUCT(--(F12:N12="Yes"))</f>
        <v>6</v>
      </c>
    </row>
    <row r="13" spans="1:15" x14ac:dyDescent="0.35">
      <c r="A13" t="s">
        <v>24</v>
      </c>
      <c r="B13" s="6">
        <v>29434</v>
      </c>
      <c r="C13">
        <v>44</v>
      </c>
      <c r="D13" t="s">
        <v>83</v>
      </c>
      <c r="E13" t="s">
        <v>63</v>
      </c>
      <c r="F13" t="s">
        <v>61</v>
      </c>
      <c r="G13" t="s">
        <v>61</v>
      </c>
      <c r="H13" t="s">
        <v>61</v>
      </c>
      <c r="I13" t="s">
        <v>62</v>
      </c>
      <c r="J13" t="s">
        <v>62</v>
      </c>
      <c r="K13" t="s">
        <v>62</v>
      </c>
      <c r="L13" t="s">
        <v>62</v>
      </c>
      <c r="M13" t="s">
        <v>62</v>
      </c>
      <c r="N13" t="s">
        <v>62</v>
      </c>
      <c r="O13" cm="1">
        <f t="array" ref="O13">SUMPRODUCT(--(F13:N13="Yes"))</f>
        <v>3</v>
      </c>
    </row>
    <row r="14" spans="1:15" x14ac:dyDescent="0.35">
      <c r="A14" t="s">
        <v>25</v>
      </c>
      <c r="B14" s="6">
        <v>36427</v>
      </c>
      <c r="C14">
        <v>25</v>
      </c>
      <c r="D14" t="s">
        <v>82</v>
      </c>
      <c r="E14" t="s">
        <v>63</v>
      </c>
      <c r="F14" t="s">
        <v>61</v>
      </c>
      <c r="G14" t="s">
        <v>62</v>
      </c>
      <c r="H14" t="s">
        <v>62</v>
      </c>
      <c r="I14" t="s">
        <v>61</v>
      </c>
      <c r="J14" t="s">
        <v>62</v>
      </c>
      <c r="K14" t="s">
        <v>61</v>
      </c>
      <c r="L14" t="s">
        <v>61</v>
      </c>
      <c r="M14" t="s">
        <v>61</v>
      </c>
      <c r="N14" t="s">
        <v>62</v>
      </c>
      <c r="O14" cm="1">
        <f t="array" ref="O14">SUMPRODUCT(--(F14:N14="Yes"))</f>
        <v>5</v>
      </c>
    </row>
    <row r="15" spans="1:15" x14ac:dyDescent="0.35">
      <c r="A15" t="s">
        <v>26</v>
      </c>
      <c r="B15" s="6">
        <v>29359</v>
      </c>
      <c r="C15">
        <v>45</v>
      </c>
      <c r="D15" t="s">
        <v>84</v>
      </c>
      <c r="E15" t="s">
        <v>63</v>
      </c>
      <c r="F15" t="s">
        <v>61</v>
      </c>
      <c r="G15" t="s">
        <v>61</v>
      </c>
      <c r="H15" t="s">
        <v>61</v>
      </c>
      <c r="I15" t="s">
        <v>61</v>
      </c>
      <c r="J15" t="s">
        <v>61</v>
      </c>
      <c r="K15" t="s">
        <v>61</v>
      </c>
      <c r="L15" t="s">
        <v>62</v>
      </c>
      <c r="M15" t="s">
        <v>62</v>
      </c>
      <c r="N15" t="s">
        <v>62</v>
      </c>
      <c r="O15" cm="1">
        <f t="array" ref="O15">SUMPRODUCT(--(F15:N15="Yes"))</f>
        <v>6</v>
      </c>
    </row>
    <row r="16" spans="1:15" x14ac:dyDescent="0.35">
      <c r="A16" t="s">
        <v>27</v>
      </c>
      <c r="B16" s="6">
        <v>37488</v>
      </c>
      <c r="C16">
        <v>22</v>
      </c>
      <c r="D16" t="s">
        <v>81</v>
      </c>
      <c r="E16" t="s">
        <v>65</v>
      </c>
      <c r="F16" t="s">
        <v>61</v>
      </c>
      <c r="G16" t="s">
        <v>61</v>
      </c>
      <c r="H16" t="s">
        <v>61</v>
      </c>
      <c r="I16" t="s">
        <v>62</v>
      </c>
      <c r="J16" t="s">
        <v>61</v>
      </c>
      <c r="K16" t="s">
        <v>62</v>
      </c>
      <c r="L16" t="s">
        <v>61</v>
      </c>
      <c r="M16" t="s">
        <v>61</v>
      </c>
      <c r="N16" t="s">
        <v>62</v>
      </c>
      <c r="O16" cm="1">
        <f t="array" ref="O16">SUMPRODUCT(--(F16:N16="Yes"))</f>
        <v>6</v>
      </c>
    </row>
    <row r="17" spans="1:15" x14ac:dyDescent="0.35">
      <c r="A17" t="s">
        <v>28</v>
      </c>
      <c r="B17" s="6">
        <v>21416</v>
      </c>
      <c r="C17">
        <v>66</v>
      </c>
      <c r="D17" t="s">
        <v>85</v>
      </c>
      <c r="E17" t="s">
        <v>65</v>
      </c>
      <c r="F17" t="s">
        <v>61</v>
      </c>
      <c r="G17" t="s">
        <v>62</v>
      </c>
      <c r="H17" t="s">
        <v>62</v>
      </c>
      <c r="I17" t="s">
        <v>62</v>
      </c>
      <c r="J17" t="s">
        <v>62</v>
      </c>
      <c r="K17" t="s">
        <v>62</v>
      </c>
      <c r="L17" t="s">
        <v>61</v>
      </c>
      <c r="M17" t="s">
        <v>62</v>
      </c>
      <c r="N17" t="s">
        <v>62</v>
      </c>
      <c r="O17" cm="1">
        <f t="array" ref="O17">SUMPRODUCT(--(F17:N17="Yes"))</f>
        <v>2</v>
      </c>
    </row>
    <row r="18" spans="1:15" x14ac:dyDescent="0.35">
      <c r="A18" t="s">
        <v>27</v>
      </c>
      <c r="B18" s="6">
        <v>21253</v>
      </c>
      <c r="C18">
        <v>67</v>
      </c>
      <c r="D18" t="s">
        <v>85</v>
      </c>
      <c r="E18" t="s">
        <v>66</v>
      </c>
      <c r="F18" t="s">
        <v>61</v>
      </c>
      <c r="G18" t="s">
        <v>62</v>
      </c>
      <c r="H18" t="s">
        <v>61</v>
      </c>
      <c r="I18" t="s">
        <v>61</v>
      </c>
      <c r="J18" t="s">
        <v>61</v>
      </c>
      <c r="K18" t="s">
        <v>61</v>
      </c>
      <c r="L18" t="s">
        <v>62</v>
      </c>
      <c r="M18" t="s">
        <v>61</v>
      </c>
      <c r="N18" t="s">
        <v>62</v>
      </c>
      <c r="O18" cm="1">
        <f t="array" ref="O18">SUMPRODUCT(--(F18:N18="Yes"))</f>
        <v>6</v>
      </c>
    </row>
    <row r="19" spans="1:15" x14ac:dyDescent="0.35">
      <c r="A19" t="s">
        <v>29</v>
      </c>
      <c r="B19" s="6">
        <v>24684</v>
      </c>
      <c r="C19">
        <v>57</v>
      </c>
      <c r="D19" t="s">
        <v>85</v>
      </c>
      <c r="E19" t="s">
        <v>66</v>
      </c>
      <c r="F19" t="s">
        <v>61</v>
      </c>
      <c r="G19" t="s">
        <v>61</v>
      </c>
      <c r="H19" t="s">
        <v>61</v>
      </c>
      <c r="I19" t="s">
        <v>62</v>
      </c>
      <c r="J19" t="s">
        <v>62</v>
      </c>
      <c r="K19" t="s">
        <v>61</v>
      </c>
      <c r="L19" t="s">
        <v>62</v>
      </c>
      <c r="M19" t="s">
        <v>61</v>
      </c>
      <c r="N19" t="s">
        <v>62</v>
      </c>
      <c r="O19" cm="1">
        <f t="array" ref="O19">SUMPRODUCT(--(F19:N19="Yes"))</f>
        <v>5</v>
      </c>
    </row>
    <row r="20" spans="1:15" x14ac:dyDescent="0.35">
      <c r="A20" t="s">
        <v>30</v>
      </c>
      <c r="B20" s="6">
        <v>17881</v>
      </c>
      <c r="C20">
        <v>76</v>
      </c>
      <c r="D20" t="s">
        <v>85</v>
      </c>
      <c r="E20" t="s">
        <v>63</v>
      </c>
      <c r="F20" t="s">
        <v>61</v>
      </c>
      <c r="G20" t="s">
        <v>62</v>
      </c>
      <c r="H20" t="s">
        <v>62</v>
      </c>
      <c r="I20" t="s">
        <v>61</v>
      </c>
      <c r="J20" t="s">
        <v>62</v>
      </c>
      <c r="K20" t="s">
        <v>62</v>
      </c>
      <c r="L20" t="s">
        <v>61</v>
      </c>
      <c r="M20" t="s">
        <v>62</v>
      </c>
      <c r="N20" t="s">
        <v>62</v>
      </c>
      <c r="O20" cm="1">
        <f t="array" ref="O20">SUMPRODUCT(--(F20:N20="Yes"))</f>
        <v>3</v>
      </c>
    </row>
    <row r="21" spans="1:15" x14ac:dyDescent="0.35">
      <c r="A21" t="s">
        <v>31</v>
      </c>
      <c r="B21" s="6">
        <v>33783</v>
      </c>
      <c r="C21">
        <v>33</v>
      </c>
      <c r="D21" t="s">
        <v>82</v>
      </c>
      <c r="E21" t="s">
        <v>66</v>
      </c>
      <c r="F21" t="s">
        <v>61</v>
      </c>
      <c r="G21" t="s">
        <v>61</v>
      </c>
      <c r="H21" t="s">
        <v>62</v>
      </c>
      <c r="I21" t="s">
        <v>62</v>
      </c>
      <c r="J21" t="s">
        <v>61</v>
      </c>
      <c r="K21" t="s">
        <v>61</v>
      </c>
      <c r="L21" t="s">
        <v>61</v>
      </c>
      <c r="M21" t="s">
        <v>61</v>
      </c>
      <c r="N21" t="s">
        <v>62</v>
      </c>
      <c r="O21" cm="1">
        <f t="array" ref="O21">SUMPRODUCT(--(F21:N21="Yes"))</f>
        <v>6</v>
      </c>
    </row>
    <row r="22" spans="1:15" x14ac:dyDescent="0.35">
      <c r="A22" t="s">
        <v>32</v>
      </c>
      <c r="B22" s="6">
        <v>23184</v>
      </c>
      <c r="C22">
        <v>62</v>
      </c>
      <c r="D22" t="s">
        <v>85</v>
      </c>
      <c r="E22" t="s">
        <v>65</v>
      </c>
      <c r="F22" t="s">
        <v>61</v>
      </c>
      <c r="G22" t="s">
        <v>61</v>
      </c>
      <c r="H22" t="s">
        <v>61</v>
      </c>
      <c r="I22" t="s">
        <v>61</v>
      </c>
      <c r="J22" t="s">
        <v>61</v>
      </c>
      <c r="K22" t="s">
        <v>62</v>
      </c>
      <c r="L22" t="s">
        <v>62</v>
      </c>
      <c r="M22" t="s">
        <v>62</v>
      </c>
      <c r="N22" t="s">
        <v>62</v>
      </c>
      <c r="O22" cm="1">
        <f t="array" ref="O22">SUMPRODUCT(--(F22:N22="Yes"))</f>
        <v>5</v>
      </c>
    </row>
    <row r="23" spans="1:15" x14ac:dyDescent="0.35">
      <c r="A23" t="s">
        <v>33</v>
      </c>
      <c r="B23" s="6">
        <v>16501</v>
      </c>
      <c r="C23">
        <v>80</v>
      </c>
      <c r="D23" t="s">
        <v>85</v>
      </c>
      <c r="E23" t="s">
        <v>66</v>
      </c>
      <c r="F23" t="s">
        <v>61</v>
      </c>
      <c r="G23" t="s">
        <v>62</v>
      </c>
      <c r="H23" t="s">
        <v>62</v>
      </c>
      <c r="I23" t="s">
        <v>62</v>
      </c>
      <c r="J23" t="s">
        <v>61</v>
      </c>
      <c r="K23" t="s">
        <v>62</v>
      </c>
      <c r="L23" t="s">
        <v>61</v>
      </c>
      <c r="M23" t="s">
        <v>61</v>
      </c>
      <c r="N23" t="s">
        <v>62</v>
      </c>
      <c r="O23" cm="1">
        <f t="array" ref="O23">SUMPRODUCT(--(F23:N23="Yes"))</f>
        <v>4</v>
      </c>
    </row>
    <row r="24" spans="1:15" x14ac:dyDescent="0.35">
      <c r="A24" t="s">
        <v>34</v>
      </c>
      <c r="B24" s="6">
        <v>13633</v>
      </c>
      <c r="C24">
        <v>88</v>
      </c>
      <c r="D24" t="s">
        <v>85</v>
      </c>
      <c r="E24" t="s">
        <v>67</v>
      </c>
      <c r="F24" t="s">
        <v>61</v>
      </c>
      <c r="G24" t="s">
        <v>61</v>
      </c>
      <c r="H24" t="s">
        <v>61</v>
      </c>
      <c r="I24" t="s">
        <v>62</v>
      </c>
      <c r="J24" t="s">
        <v>62</v>
      </c>
      <c r="K24" t="s">
        <v>61</v>
      </c>
      <c r="L24" t="s">
        <v>62</v>
      </c>
      <c r="M24" t="s">
        <v>61</v>
      </c>
      <c r="N24" t="s">
        <v>62</v>
      </c>
      <c r="O24" cm="1">
        <f t="array" ref="O24">SUMPRODUCT(--(F24:N24="Yes"))</f>
        <v>5</v>
      </c>
    </row>
    <row r="25" spans="1:15" x14ac:dyDescent="0.35">
      <c r="A25" t="s">
        <v>35</v>
      </c>
      <c r="B25" s="6">
        <v>15651</v>
      </c>
      <c r="C25">
        <v>82</v>
      </c>
      <c r="D25" t="s">
        <v>85</v>
      </c>
      <c r="E25" t="s">
        <v>65</v>
      </c>
      <c r="F25" t="s">
        <v>61</v>
      </c>
      <c r="G25" t="s">
        <v>62</v>
      </c>
      <c r="H25" t="s">
        <v>62</v>
      </c>
      <c r="I25" t="s">
        <v>61</v>
      </c>
      <c r="J25" t="s">
        <v>61</v>
      </c>
      <c r="K25" t="s">
        <v>61</v>
      </c>
      <c r="L25" t="s">
        <v>61</v>
      </c>
      <c r="M25" t="s">
        <v>62</v>
      </c>
      <c r="N25" t="s">
        <v>62</v>
      </c>
      <c r="O25" cm="1">
        <f t="array" ref="O25">SUMPRODUCT(--(F25:N25="Yes"))</f>
        <v>5</v>
      </c>
    </row>
    <row r="26" spans="1:15" x14ac:dyDescent="0.35">
      <c r="A26" t="s">
        <v>36</v>
      </c>
      <c r="B26" s="6">
        <v>22636</v>
      </c>
      <c r="C26">
        <v>63</v>
      </c>
      <c r="D26" t="s">
        <v>85</v>
      </c>
      <c r="E26" t="s">
        <v>67</v>
      </c>
      <c r="F26" t="s">
        <v>61</v>
      </c>
      <c r="G26" t="s">
        <v>62</v>
      </c>
      <c r="H26" t="s">
        <v>61</v>
      </c>
      <c r="I26" t="s">
        <v>61</v>
      </c>
      <c r="J26" t="s">
        <v>62</v>
      </c>
      <c r="K26" t="s">
        <v>62</v>
      </c>
      <c r="L26" t="s">
        <v>62</v>
      </c>
      <c r="M26" t="s">
        <v>62</v>
      </c>
      <c r="N26" t="s">
        <v>61</v>
      </c>
      <c r="O26" cm="1">
        <f t="array" ref="O26">SUMPRODUCT(--(F26:N26="Yes"))</f>
        <v>4</v>
      </c>
    </row>
    <row r="27" spans="1:15" x14ac:dyDescent="0.35">
      <c r="A27" t="s">
        <v>37</v>
      </c>
      <c r="B27" s="6">
        <v>15962</v>
      </c>
      <c r="C27">
        <v>81</v>
      </c>
      <c r="D27" t="s">
        <v>85</v>
      </c>
      <c r="E27" t="s">
        <v>66</v>
      </c>
      <c r="F27" t="s">
        <v>61</v>
      </c>
      <c r="G27" t="s">
        <v>61</v>
      </c>
      <c r="H27" t="s">
        <v>61</v>
      </c>
      <c r="I27" t="s">
        <v>61</v>
      </c>
      <c r="J27" t="s">
        <v>62</v>
      </c>
      <c r="K27" t="s">
        <v>61</v>
      </c>
      <c r="L27" t="s">
        <v>62</v>
      </c>
      <c r="M27" t="s">
        <v>61</v>
      </c>
      <c r="N27" t="s">
        <v>61</v>
      </c>
      <c r="O27" cm="1">
        <f t="array" ref="O27">SUMPRODUCT(--(F27:N27="Yes"))</f>
        <v>7</v>
      </c>
    </row>
    <row r="28" spans="1:15" x14ac:dyDescent="0.35">
      <c r="A28" t="s">
        <v>38</v>
      </c>
      <c r="B28" s="6">
        <v>32023</v>
      </c>
      <c r="C28">
        <v>37</v>
      </c>
      <c r="D28" t="s">
        <v>83</v>
      </c>
      <c r="E28" t="s">
        <v>64</v>
      </c>
      <c r="F28" t="s">
        <v>61</v>
      </c>
      <c r="G28" t="s">
        <v>61</v>
      </c>
      <c r="H28" t="s">
        <v>62</v>
      </c>
      <c r="I28" t="s">
        <v>62</v>
      </c>
      <c r="J28" t="s">
        <v>61</v>
      </c>
      <c r="K28" t="s">
        <v>62</v>
      </c>
      <c r="L28" t="s">
        <v>61</v>
      </c>
      <c r="M28" t="s">
        <v>62</v>
      </c>
      <c r="N28" t="s">
        <v>62</v>
      </c>
      <c r="O28" cm="1">
        <f t="array" ref="O28">SUMPRODUCT(--(F28:N28="Yes"))</f>
        <v>4</v>
      </c>
    </row>
    <row r="29" spans="1:15" x14ac:dyDescent="0.35">
      <c r="A29" t="s">
        <v>39</v>
      </c>
      <c r="B29" s="6">
        <v>20465</v>
      </c>
      <c r="C29">
        <v>69</v>
      </c>
      <c r="D29" t="s">
        <v>85</v>
      </c>
      <c r="E29" t="s">
        <v>63</v>
      </c>
      <c r="F29" t="s">
        <v>61</v>
      </c>
      <c r="G29" t="s">
        <v>62</v>
      </c>
      <c r="H29" t="s">
        <v>62</v>
      </c>
      <c r="I29" t="s">
        <v>61</v>
      </c>
      <c r="J29" t="s">
        <v>62</v>
      </c>
      <c r="K29" t="s">
        <v>61</v>
      </c>
      <c r="L29" t="s">
        <v>61</v>
      </c>
      <c r="M29" t="s">
        <v>61</v>
      </c>
      <c r="N29" t="s">
        <v>62</v>
      </c>
      <c r="O29" cm="1">
        <f t="array" ref="O29">SUMPRODUCT(--(F29:N29="Yes"))</f>
        <v>5</v>
      </c>
    </row>
    <row r="30" spans="1:15" x14ac:dyDescent="0.35">
      <c r="A30" t="s">
        <v>40</v>
      </c>
      <c r="B30" s="6">
        <v>33251</v>
      </c>
      <c r="C30">
        <v>34</v>
      </c>
      <c r="D30" t="s">
        <v>82</v>
      </c>
      <c r="E30" t="s">
        <v>65</v>
      </c>
      <c r="F30" t="s">
        <v>61</v>
      </c>
      <c r="G30" t="s">
        <v>61</v>
      </c>
      <c r="H30" t="s">
        <v>61</v>
      </c>
      <c r="I30" t="s">
        <v>62</v>
      </c>
      <c r="J30" t="s">
        <v>61</v>
      </c>
      <c r="K30" t="s">
        <v>62</v>
      </c>
      <c r="L30" t="s">
        <v>61</v>
      </c>
      <c r="M30" t="s">
        <v>62</v>
      </c>
      <c r="N30" t="s">
        <v>62</v>
      </c>
      <c r="O30" cm="1">
        <f t="array" ref="O30">SUMPRODUCT(--(F30:N30="Yes"))</f>
        <v>5</v>
      </c>
    </row>
    <row r="31" spans="1:15" x14ac:dyDescent="0.35">
      <c r="A31" t="s">
        <v>41</v>
      </c>
      <c r="B31" s="6">
        <v>21723</v>
      </c>
      <c r="C31">
        <v>66</v>
      </c>
      <c r="D31" t="s">
        <v>85</v>
      </c>
      <c r="E31" t="s">
        <v>67</v>
      </c>
      <c r="F31" t="s">
        <v>61</v>
      </c>
      <c r="G31" t="s">
        <v>62</v>
      </c>
      <c r="H31" t="s">
        <v>61</v>
      </c>
      <c r="I31" t="s">
        <v>62</v>
      </c>
      <c r="J31" t="s">
        <v>61</v>
      </c>
      <c r="K31" t="s">
        <v>61</v>
      </c>
      <c r="L31" t="s">
        <v>62</v>
      </c>
      <c r="M31" t="s">
        <v>61</v>
      </c>
      <c r="N31" t="s">
        <v>62</v>
      </c>
      <c r="O31" cm="1">
        <f t="array" ref="O31">SUMPRODUCT(--(F31:N31="Yes"))</f>
        <v>5</v>
      </c>
    </row>
    <row r="32" spans="1:15" x14ac:dyDescent="0.35">
      <c r="A32" t="s">
        <v>42</v>
      </c>
      <c r="B32" s="6">
        <v>33881</v>
      </c>
      <c r="C32">
        <v>32</v>
      </c>
      <c r="D32" t="s">
        <v>82</v>
      </c>
      <c r="E32" t="s">
        <v>64</v>
      </c>
      <c r="F32" t="s">
        <v>61</v>
      </c>
      <c r="G32" t="s">
        <v>62</v>
      </c>
      <c r="H32" t="s">
        <v>62</v>
      </c>
      <c r="I32" t="s">
        <v>61</v>
      </c>
      <c r="J32" t="s">
        <v>62</v>
      </c>
      <c r="K32" t="s">
        <v>61</v>
      </c>
      <c r="L32" t="s">
        <v>62</v>
      </c>
      <c r="M32" t="s">
        <v>61</v>
      </c>
      <c r="N32" t="s">
        <v>62</v>
      </c>
      <c r="O32" cm="1">
        <f t="array" ref="O32">SUMPRODUCT(--(F32:N32="Yes"))</f>
        <v>4</v>
      </c>
    </row>
    <row r="33" spans="1:15" x14ac:dyDescent="0.35">
      <c r="A33" t="s">
        <v>39</v>
      </c>
      <c r="B33" s="6">
        <v>33593</v>
      </c>
      <c r="C33">
        <v>33</v>
      </c>
      <c r="D33" t="s">
        <v>82</v>
      </c>
      <c r="E33" t="s">
        <v>64</v>
      </c>
      <c r="F33" t="s">
        <v>61</v>
      </c>
      <c r="G33" t="s">
        <v>61</v>
      </c>
      <c r="H33" t="s">
        <v>61</v>
      </c>
      <c r="I33" t="s">
        <v>61</v>
      </c>
      <c r="J33" t="s">
        <v>62</v>
      </c>
      <c r="K33" t="s">
        <v>62</v>
      </c>
      <c r="L33" t="s">
        <v>61</v>
      </c>
      <c r="M33" t="s">
        <v>62</v>
      </c>
      <c r="N33" t="s">
        <v>62</v>
      </c>
      <c r="O33" cm="1">
        <f t="array" ref="O33">SUMPRODUCT(--(F33:N33="Yes"))</f>
        <v>5</v>
      </c>
    </row>
    <row r="34" spans="1:15" x14ac:dyDescent="0.35">
      <c r="A34" t="s">
        <v>43</v>
      </c>
      <c r="B34" s="6">
        <v>21803</v>
      </c>
      <c r="C34">
        <v>65</v>
      </c>
      <c r="D34" t="s">
        <v>85</v>
      </c>
      <c r="E34" t="s">
        <v>65</v>
      </c>
      <c r="F34" t="s">
        <v>61</v>
      </c>
      <c r="G34" t="s">
        <v>61</v>
      </c>
      <c r="H34" t="s">
        <v>62</v>
      </c>
      <c r="I34" t="s">
        <v>62</v>
      </c>
      <c r="J34" t="s">
        <v>61</v>
      </c>
      <c r="K34" t="s">
        <v>61</v>
      </c>
      <c r="L34" t="s">
        <v>62</v>
      </c>
      <c r="M34" t="s">
        <v>61</v>
      </c>
      <c r="N34" t="s">
        <v>62</v>
      </c>
      <c r="O34" cm="1">
        <f t="array" ref="O34">SUMPRODUCT(--(F34:N34="Yes"))</f>
        <v>5</v>
      </c>
    </row>
    <row r="35" spans="1:15" x14ac:dyDescent="0.35">
      <c r="A35" t="s">
        <v>37</v>
      </c>
      <c r="B35" s="6">
        <v>15680</v>
      </c>
      <c r="C35">
        <v>82</v>
      </c>
      <c r="D35" t="s">
        <v>85</v>
      </c>
      <c r="E35" t="s">
        <v>65</v>
      </c>
      <c r="F35" t="s">
        <v>61</v>
      </c>
      <c r="G35" t="s">
        <v>62</v>
      </c>
      <c r="H35" t="s">
        <v>61</v>
      </c>
      <c r="I35" t="s">
        <v>61</v>
      </c>
      <c r="J35" t="s">
        <v>61</v>
      </c>
      <c r="K35" t="s">
        <v>62</v>
      </c>
      <c r="L35" t="s">
        <v>61</v>
      </c>
      <c r="M35" t="s">
        <v>62</v>
      </c>
      <c r="N35" t="s">
        <v>62</v>
      </c>
      <c r="O35" cm="1">
        <f t="array" ref="O35">SUMPRODUCT(--(F35:N35="Yes"))</f>
        <v>5</v>
      </c>
    </row>
    <row r="36" spans="1:15" x14ac:dyDescent="0.35">
      <c r="A36" t="s">
        <v>44</v>
      </c>
      <c r="B36" s="6">
        <v>14841</v>
      </c>
      <c r="C36">
        <v>84</v>
      </c>
      <c r="D36" t="s">
        <v>85</v>
      </c>
      <c r="E36" t="s">
        <v>64</v>
      </c>
      <c r="F36" t="s">
        <v>61</v>
      </c>
      <c r="G36" t="s">
        <v>61</v>
      </c>
      <c r="H36" t="s">
        <v>62</v>
      </c>
      <c r="I36" t="s">
        <v>61</v>
      </c>
      <c r="J36" t="s">
        <v>62</v>
      </c>
      <c r="K36" t="s">
        <v>62</v>
      </c>
      <c r="L36" t="s">
        <v>61</v>
      </c>
      <c r="M36" t="s">
        <v>62</v>
      </c>
      <c r="N36" t="s">
        <v>62</v>
      </c>
      <c r="O36" cm="1">
        <f t="array" ref="O36">SUMPRODUCT(--(F36:N36="Yes"))</f>
        <v>4</v>
      </c>
    </row>
    <row r="37" spans="1:15" x14ac:dyDescent="0.35">
      <c r="A37" t="s">
        <v>45</v>
      </c>
      <c r="B37" s="6">
        <v>15257</v>
      </c>
      <c r="C37">
        <v>83</v>
      </c>
      <c r="D37" t="s">
        <v>85</v>
      </c>
      <c r="E37" t="s">
        <v>63</v>
      </c>
      <c r="F37" t="s">
        <v>61</v>
      </c>
      <c r="G37" t="s">
        <v>62</v>
      </c>
      <c r="H37" t="s">
        <v>61</v>
      </c>
      <c r="I37" t="s">
        <v>62</v>
      </c>
      <c r="J37" t="s">
        <v>61</v>
      </c>
      <c r="K37" t="s">
        <v>61</v>
      </c>
      <c r="L37" t="s">
        <v>62</v>
      </c>
      <c r="M37" t="s">
        <v>61</v>
      </c>
      <c r="N37" t="s">
        <v>62</v>
      </c>
      <c r="O37" cm="1">
        <f t="array" ref="O37">SUMPRODUCT(--(F37:N37="Yes"))</f>
        <v>5</v>
      </c>
    </row>
    <row r="38" spans="1:15" x14ac:dyDescent="0.35">
      <c r="A38" t="s">
        <v>46</v>
      </c>
      <c r="B38" s="6">
        <v>31862</v>
      </c>
      <c r="C38">
        <v>38</v>
      </c>
      <c r="D38" t="s">
        <v>83</v>
      </c>
      <c r="E38" t="s">
        <v>63</v>
      </c>
      <c r="F38" t="s">
        <v>61</v>
      </c>
      <c r="G38" t="s">
        <v>62</v>
      </c>
      <c r="H38" t="s">
        <v>61</v>
      </c>
      <c r="I38" t="s">
        <v>62</v>
      </c>
      <c r="J38" t="s">
        <v>62</v>
      </c>
      <c r="K38" t="s">
        <v>61</v>
      </c>
      <c r="L38" t="s">
        <v>61</v>
      </c>
      <c r="M38" t="s">
        <v>61</v>
      </c>
      <c r="N38" t="s">
        <v>62</v>
      </c>
      <c r="O38" cm="1">
        <f t="array" ref="O38">SUMPRODUCT(--(F38:N38="Yes"))</f>
        <v>5</v>
      </c>
    </row>
    <row r="39" spans="1:15" x14ac:dyDescent="0.35">
      <c r="A39" t="s">
        <v>47</v>
      </c>
      <c r="B39" s="6">
        <v>26926</v>
      </c>
      <c r="C39">
        <v>51</v>
      </c>
      <c r="D39" t="s">
        <v>84</v>
      </c>
      <c r="E39" t="s">
        <v>67</v>
      </c>
      <c r="F39" t="s">
        <v>61</v>
      </c>
      <c r="G39" t="s">
        <v>61</v>
      </c>
      <c r="H39" t="s">
        <v>62</v>
      </c>
      <c r="I39" t="s">
        <v>61</v>
      </c>
      <c r="J39" t="s">
        <v>61</v>
      </c>
      <c r="K39" t="s">
        <v>62</v>
      </c>
      <c r="L39" t="s">
        <v>62</v>
      </c>
      <c r="M39" t="s">
        <v>62</v>
      </c>
      <c r="N39" t="s">
        <v>62</v>
      </c>
      <c r="O39" cm="1">
        <f t="array" ref="O39">SUMPRODUCT(--(F39:N39="Yes"))</f>
        <v>4</v>
      </c>
    </row>
    <row r="40" spans="1:15" x14ac:dyDescent="0.35">
      <c r="A40" t="s">
        <v>48</v>
      </c>
      <c r="B40" s="6">
        <v>14701</v>
      </c>
      <c r="C40">
        <v>85</v>
      </c>
      <c r="D40" t="s">
        <v>85</v>
      </c>
      <c r="E40" t="s">
        <v>63</v>
      </c>
      <c r="F40" t="s">
        <v>61</v>
      </c>
      <c r="G40" t="s">
        <v>61</v>
      </c>
      <c r="H40" t="s">
        <v>62</v>
      </c>
      <c r="I40" t="s">
        <v>62</v>
      </c>
      <c r="J40" t="s">
        <v>62</v>
      </c>
      <c r="K40" t="s">
        <v>61</v>
      </c>
      <c r="L40" t="s">
        <v>62</v>
      </c>
      <c r="M40" t="s">
        <v>62</v>
      </c>
      <c r="N40" t="s">
        <v>62</v>
      </c>
      <c r="O40" cm="1">
        <f t="array" ref="O40">SUMPRODUCT(--(F40:N40="Yes"))</f>
        <v>3</v>
      </c>
    </row>
    <row r="41" spans="1:15" x14ac:dyDescent="0.35">
      <c r="A41" t="s">
        <v>49</v>
      </c>
      <c r="B41" s="6">
        <v>20345</v>
      </c>
      <c r="C41">
        <v>69</v>
      </c>
      <c r="D41" t="s">
        <v>85</v>
      </c>
      <c r="E41" t="s">
        <v>64</v>
      </c>
      <c r="F41" t="s">
        <v>61</v>
      </c>
      <c r="G41" t="s">
        <v>62</v>
      </c>
      <c r="H41" t="s">
        <v>61</v>
      </c>
      <c r="I41" t="s">
        <v>61</v>
      </c>
      <c r="J41" t="s">
        <v>62</v>
      </c>
      <c r="K41" t="s">
        <v>62</v>
      </c>
      <c r="L41" t="s">
        <v>61</v>
      </c>
      <c r="M41" t="s">
        <v>61</v>
      </c>
      <c r="N41" t="s">
        <v>62</v>
      </c>
      <c r="O41" cm="1">
        <f t="array" ref="O41">SUMPRODUCT(--(F41:N41="Yes"))</f>
        <v>5</v>
      </c>
    </row>
    <row r="42" spans="1:15" x14ac:dyDescent="0.35">
      <c r="A42" t="s">
        <v>50</v>
      </c>
      <c r="B42" s="6">
        <v>25333</v>
      </c>
      <c r="C42">
        <v>56</v>
      </c>
      <c r="D42" t="s">
        <v>85</v>
      </c>
      <c r="E42" t="s">
        <v>64</v>
      </c>
      <c r="F42" t="s">
        <v>61</v>
      </c>
      <c r="G42" t="s">
        <v>61</v>
      </c>
      <c r="H42" t="s">
        <v>61</v>
      </c>
      <c r="I42" t="s">
        <v>61</v>
      </c>
      <c r="J42" t="s">
        <v>61</v>
      </c>
      <c r="K42" t="s">
        <v>61</v>
      </c>
      <c r="L42" t="s">
        <v>61</v>
      </c>
      <c r="M42" t="s">
        <v>62</v>
      </c>
      <c r="N42" t="s">
        <v>62</v>
      </c>
      <c r="O42" cm="1">
        <f t="array" ref="O42">SUMPRODUCT(--(F42:N42="Yes"))</f>
        <v>7</v>
      </c>
    </row>
    <row r="43" spans="1:15" x14ac:dyDescent="0.35">
      <c r="A43" t="s">
        <v>51</v>
      </c>
      <c r="B43" s="6">
        <v>38679</v>
      </c>
      <c r="C43">
        <v>19</v>
      </c>
      <c r="D43" t="s">
        <v>81</v>
      </c>
      <c r="E43" t="s">
        <v>66</v>
      </c>
      <c r="F43" t="s">
        <v>61</v>
      </c>
      <c r="G43" t="s">
        <v>61</v>
      </c>
      <c r="H43" t="s">
        <v>62</v>
      </c>
      <c r="I43" t="s">
        <v>62</v>
      </c>
      <c r="J43" t="s">
        <v>61</v>
      </c>
      <c r="K43" t="s">
        <v>62</v>
      </c>
      <c r="L43" t="s">
        <v>62</v>
      </c>
      <c r="M43" t="s">
        <v>61</v>
      </c>
      <c r="N43" t="s">
        <v>62</v>
      </c>
      <c r="O43" cm="1">
        <f t="array" ref="O43">SUMPRODUCT(--(F43:N43="Yes"))</f>
        <v>4</v>
      </c>
    </row>
    <row r="44" spans="1:15" x14ac:dyDescent="0.35">
      <c r="A44" t="s">
        <v>52</v>
      </c>
      <c r="B44" s="6">
        <v>31698</v>
      </c>
      <c r="C44">
        <v>38</v>
      </c>
      <c r="D44" t="s">
        <v>83</v>
      </c>
      <c r="E44" t="s">
        <v>64</v>
      </c>
      <c r="F44" t="s">
        <v>61</v>
      </c>
      <c r="G44" t="s">
        <v>62</v>
      </c>
      <c r="H44" t="s">
        <v>62</v>
      </c>
      <c r="I44" t="s">
        <v>61</v>
      </c>
      <c r="J44" t="s">
        <v>62</v>
      </c>
      <c r="K44" t="s">
        <v>61</v>
      </c>
      <c r="L44" t="s">
        <v>62</v>
      </c>
      <c r="M44" t="s">
        <v>61</v>
      </c>
      <c r="N44" t="s">
        <v>62</v>
      </c>
      <c r="O44" cm="1">
        <f t="array" ref="O44">SUMPRODUCT(--(F44:N44="Yes"))</f>
        <v>4</v>
      </c>
    </row>
    <row r="45" spans="1:15" x14ac:dyDescent="0.35">
      <c r="A45" t="s">
        <v>53</v>
      </c>
      <c r="B45" s="6">
        <v>15312</v>
      </c>
      <c r="C45">
        <v>83</v>
      </c>
      <c r="D45" t="s">
        <v>85</v>
      </c>
      <c r="E45" t="s">
        <v>63</v>
      </c>
      <c r="F45" t="s">
        <v>61</v>
      </c>
      <c r="G45" t="s">
        <v>62</v>
      </c>
      <c r="H45" t="s">
        <v>61</v>
      </c>
      <c r="I45" t="s">
        <v>62</v>
      </c>
      <c r="J45" t="s">
        <v>61</v>
      </c>
      <c r="K45" t="s">
        <v>61</v>
      </c>
      <c r="L45" t="s">
        <v>61</v>
      </c>
      <c r="M45" t="s">
        <v>62</v>
      </c>
      <c r="N45" t="s">
        <v>62</v>
      </c>
      <c r="O45" cm="1">
        <f t="array" ref="O45">SUMPRODUCT(--(F45:N45="Yes"))</f>
        <v>5</v>
      </c>
    </row>
    <row r="46" spans="1:15" x14ac:dyDescent="0.35">
      <c r="A46" t="s">
        <v>54</v>
      </c>
      <c r="B46" s="6">
        <v>27833</v>
      </c>
      <c r="C46">
        <v>49</v>
      </c>
      <c r="D46" t="s">
        <v>84</v>
      </c>
      <c r="E46" t="s">
        <v>67</v>
      </c>
      <c r="F46" t="s">
        <v>61</v>
      </c>
      <c r="G46" t="s">
        <v>61</v>
      </c>
      <c r="H46" t="s">
        <v>62</v>
      </c>
      <c r="I46" t="s">
        <v>61</v>
      </c>
      <c r="J46" t="s">
        <v>62</v>
      </c>
      <c r="K46" t="s">
        <v>62</v>
      </c>
      <c r="L46" t="s">
        <v>61</v>
      </c>
      <c r="M46" t="s">
        <v>61</v>
      </c>
      <c r="N46" t="s">
        <v>62</v>
      </c>
      <c r="O46" cm="1">
        <f t="array" ref="O46">SUMPRODUCT(--(F46:N46="Yes"))</f>
        <v>5</v>
      </c>
    </row>
    <row r="47" spans="1:15" x14ac:dyDescent="0.35">
      <c r="A47" t="s">
        <v>44</v>
      </c>
      <c r="B47" s="6">
        <v>24558</v>
      </c>
      <c r="C47">
        <v>58</v>
      </c>
      <c r="D47" t="s">
        <v>85</v>
      </c>
      <c r="E47" t="s">
        <v>66</v>
      </c>
      <c r="F47" t="s">
        <v>61</v>
      </c>
      <c r="G47" t="s">
        <v>62</v>
      </c>
      <c r="H47" t="s">
        <v>61</v>
      </c>
      <c r="I47" t="s">
        <v>62</v>
      </c>
      <c r="J47" t="s">
        <v>62</v>
      </c>
      <c r="K47" t="s">
        <v>62</v>
      </c>
      <c r="L47" t="s">
        <v>62</v>
      </c>
      <c r="M47" t="s">
        <v>62</v>
      </c>
      <c r="N47" t="s">
        <v>61</v>
      </c>
      <c r="O47" cm="1">
        <f t="array" ref="O47">SUMPRODUCT(--(F47:N47="Yes"))</f>
        <v>3</v>
      </c>
    </row>
    <row r="48" spans="1:15" x14ac:dyDescent="0.35">
      <c r="A48" t="s">
        <v>55</v>
      </c>
      <c r="B48" s="6">
        <v>32882</v>
      </c>
      <c r="C48">
        <v>35</v>
      </c>
      <c r="D48" t="s">
        <v>83</v>
      </c>
      <c r="E48" t="s">
        <v>63</v>
      </c>
      <c r="F48" t="s">
        <v>61</v>
      </c>
      <c r="G48" t="s">
        <v>61</v>
      </c>
      <c r="H48" t="s">
        <v>62</v>
      </c>
      <c r="I48" t="s">
        <v>61</v>
      </c>
      <c r="J48" t="s">
        <v>61</v>
      </c>
      <c r="K48" t="s">
        <v>61</v>
      </c>
      <c r="L48" t="s">
        <v>61</v>
      </c>
      <c r="M48" t="s">
        <v>61</v>
      </c>
      <c r="N48" t="s">
        <v>62</v>
      </c>
      <c r="O48" cm="1">
        <f t="array" ref="O48">SUMPRODUCT(--(F48:N48="Yes"))</f>
        <v>7</v>
      </c>
    </row>
    <row r="49" spans="1:15" x14ac:dyDescent="0.35">
      <c r="A49" t="s">
        <v>56</v>
      </c>
      <c r="B49" s="6">
        <v>34395</v>
      </c>
      <c r="C49">
        <v>31</v>
      </c>
      <c r="D49" t="s">
        <v>82</v>
      </c>
      <c r="E49" t="s">
        <v>67</v>
      </c>
      <c r="F49" t="s">
        <v>61</v>
      </c>
      <c r="G49" t="s">
        <v>62</v>
      </c>
      <c r="H49" t="s">
        <v>61</v>
      </c>
      <c r="I49" t="s">
        <v>62</v>
      </c>
      <c r="J49" t="s">
        <v>61</v>
      </c>
      <c r="K49" t="s">
        <v>62</v>
      </c>
      <c r="L49" t="s">
        <v>62</v>
      </c>
      <c r="M49" t="s">
        <v>61</v>
      </c>
      <c r="N49" t="s">
        <v>62</v>
      </c>
      <c r="O49" cm="1">
        <f t="array" ref="O49">SUMPRODUCT(--(F49:N49="Yes"))</f>
        <v>4</v>
      </c>
    </row>
    <row r="50" spans="1:15" x14ac:dyDescent="0.35">
      <c r="A50" t="s">
        <v>57</v>
      </c>
      <c r="B50" s="6">
        <v>29339</v>
      </c>
      <c r="C50">
        <v>45</v>
      </c>
      <c r="D50" t="s">
        <v>84</v>
      </c>
      <c r="E50" t="s">
        <v>63</v>
      </c>
      <c r="F50" t="s">
        <v>61</v>
      </c>
      <c r="G50" t="s">
        <v>61</v>
      </c>
      <c r="H50" t="s">
        <v>61</v>
      </c>
      <c r="I50" t="s">
        <v>61</v>
      </c>
      <c r="J50" t="s">
        <v>62</v>
      </c>
      <c r="K50" t="s">
        <v>61</v>
      </c>
      <c r="L50" t="s">
        <v>61</v>
      </c>
      <c r="M50" t="s">
        <v>62</v>
      </c>
      <c r="N50" t="s">
        <v>62</v>
      </c>
      <c r="O50" cm="1">
        <f t="array" ref="O50">SUMPRODUCT(--(F50:N50="Yes"))</f>
        <v>6</v>
      </c>
    </row>
    <row r="51" spans="1:15" x14ac:dyDescent="0.35">
      <c r="A51" t="s">
        <v>58</v>
      </c>
      <c r="B51" s="6">
        <v>36823</v>
      </c>
      <c r="C51">
        <v>24</v>
      </c>
      <c r="D51" t="s">
        <v>81</v>
      </c>
      <c r="E51" t="s">
        <v>66</v>
      </c>
      <c r="F51" t="s">
        <v>61</v>
      </c>
      <c r="G51" t="s">
        <v>62</v>
      </c>
      <c r="H51" t="s">
        <v>62</v>
      </c>
      <c r="I51" t="s">
        <v>62</v>
      </c>
      <c r="J51" t="s">
        <v>61</v>
      </c>
      <c r="K51" t="s">
        <v>61</v>
      </c>
      <c r="L51" t="s">
        <v>62</v>
      </c>
      <c r="M51" t="s">
        <v>62</v>
      </c>
      <c r="N51" t="s">
        <v>62</v>
      </c>
      <c r="O51" cm="1">
        <f t="array" ref="O51">SUMPRODUCT(--(F51:N51="Yes"))</f>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94CF2-7AFD-4F75-862A-940295082BD7}">
  <dimension ref="A1:I9"/>
  <sheetViews>
    <sheetView zoomScale="81" workbookViewId="0">
      <selection activeCell="C5" sqref="C5"/>
    </sheetView>
  </sheetViews>
  <sheetFormatPr defaultRowHeight="14.5" x14ac:dyDescent="0.35"/>
  <cols>
    <col min="1" max="1" width="19.81640625" bestFit="1" customWidth="1"/>
    <col min="2" max="2" width="31.26953125" bestFit="1" customWidth="1"/>
    <col min="3" max="3" width="37.81640625" bestFit="1" customWidth="1"/>
    <col min="4" max="4" width="31.6328125" bestFit="1" customWidth="1"/>
    <col min="5" max="5" width="25.1796875" bestFit="1" customWidth="1"/>
    <col min="6" max="6" width="25.453125" bestFit="1" customWidth="1"/>
    <col min="7" max="7" width="22.1796875" bestFit="1" customWidth="1"/>
    <col min="8" max="8" width="25.1796875" bestFit="1" customWidth="1"/>
    <col min="9" max="9" width="24.453125" bestFit="1" customWidth="1"/>
  </cols>
  <sheetData>
    <row r="1" spans="1:9" x14ac:dyDescent="0.35">
      <c r="A1" s="4" t="s">
        <v>7</v>
      </c>
      <c r="B1" t="s">
        <v>60</v>
      </c>
    </row>
    <row r="3" spans="1:9" x14ac:dyDescent="0.35">
      <c r="A3" s="4" t="s">
        <v>68</v>
      </c>
      <c r="B3" t="s">
        <v>75</v>
      </c>
      <c r="C3" t="s">
        <v>78</v>
      </c>
      <c r="D3" t="s">
        <v>77</v>
      </c>
      <c r="E3" t="s">
        <v>76</v>
      </c>
      <c r="F3" t="s">
        <v>71</v>
      </c>
      <c r="G3" t="s">
        <v>74</v>
      </c>
      <c r="H3" t="s">
        <v>73</v>
      </c>
      <c r="I3" t="s">
        <v>72</v>
      </c>
    </row>
    <row r="4" spans="1:9" x14ac:dyDescent="0.35">
      <c r="A4" s="5" t="s">
        <v>63</v>
      </c>
      <c r="B4">
        <v>7</v>
      </c>
      <c r="C4">
        <v>7</v>
      </c>
      <c r="D4">
        <v>7</v>
      </c>
      <c r="E4">
        <v>7</v>
      </c>
      <c r="F4">
        <v>7</v>
      </c>
      <c r="G4">
        <v>7</v>
      </c>
      <c r="H4">
        <v>7</v>
      </c>
      <c r="I4">
        <v>7</v>
      </c>
    </row>
    <row r="5" spans="1:9" x14ac:dyDescent="0.35">
      <c r="A5" s="5" t="s">
        <v>66</v>
      </c>
      <c r="B5">
        <v>7</v>
      </c>
      <c r="C5">
        <v>7</v>
      </c>
      <c r="D5">
        <v>7</v>
      </c>
      <c r="E5">
        <v>7</v>
      </c>
      <c r="F5">
        <v>7</v>
      </c>
      <c r="G5">
        <v>7</v>
      </c>
      <c r="H5">
        <v>7</v>
      </c>
      <c r="I5">
        <v>7</v>
      </c>
    </row>
    <row r="6" spans="1:9" x14ac:dyDescent="0.35">
      <c r="A6" s="5" t="s">
        <v>64</v>
      </c>
      <c r="B6">
        <v>2</v>
      </c>
      <c r="C6">
        <v>2</v>
      </c>
      <c r="D6">
        <v>2</v>
      </c>
      <c r="E6">
        <v>2</v>
      </c>
      <c r="F6">
        <v>2</v>
      </c>
      <c r="G6">
        <v>2</v>
      </c>
      <c r="H6">
        <v>2</v>
      </c>
      <c r="I6">
        <v>2</v>
      </c>
    </row>
    <row r="7" spans="1:9" x14ac:dyDescent="0.35">
      <c r="A7" s="5" t="s">
        <v>65</v>
      </c>
      <c r="B7">
        <v>5</v>
      </c>
      <c r="C7">
        <v>5</v>
      </c>
      <c r="D7">
        <v>5</v>
      </c>
      <c r="E7">
        <v>5</v>
      </c>
      <c r="F7">
        <v>5</v>
      </c>
      <c r="G7">
        <v>5</v>
      </c>
      <c r="H7">
        <v>5</v>
      </c>
      <c r="I7">
        <v>5</v>
      </c>
    </row>
    <row r="8" spans="1:9" x14ac:dyDescent="0.35">
      <c r="A8" s="5" t="s">
        <v>67</v>
      </c>
      <c r="B8">
        <v>3</v>
      </c>
      <c r="C8">
        <v>3</v>
      </c>
      <c r="D8">
        <v>3</v>
      </c>
      <c r="E8">
        <v>3</v>
      </c>
      <c r="F8">
        <v>3</v>
      </c>
      <c r="G8">
        <v>3</v>
      </c>
      <c r="H8">
        <v>3</v>
      </c>
      <c r="I8">
        <v>3</v>
      </c>
    </row>
    <row r="9" spans="1:9" x14ac:dyDescent="0.35">
      <c r="A9" s="5" t="s">
        <v>69</v>
      </c>
      <c r="B9">
        <v>24</v>
      </c>
      <c r="C9">
        <v>24</v>
      </c>
      <c r="D9">
        <v>24</v>
      </c>
      <c r="E9">
        <v>24</v>
      </c>
      <c r="F9">
        <v>24</v>
      </c>
      <c r="G9">
        <v>24</v>
      </c>
      <c r="H9">
        <v>24</v>
      </c>
      <c r="I9">
        <v>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FBFED-D459-4BB6-BB8D-720F5084AD1B}">
  <dimension ref="A3:D10"/>
  <sheetViews>
    <sheetView workbookViewId="0">
      <selection activeCell="B8" sqref="B8"/>
    </sheetView>
  </sheetViews>
  <sheetFormatPr defaultRowHeight="14.5" x14ac:dyDescent="0.35"/>
  <cols>
    <col min="1" max="1" width="20.81640625" bestFit="1" customWidth="1"/>
    <col min="2" max="2" width="15.26953125" bestFit="1" customWidth="1"/>
    <col min="3" max="3" width="4.54296875" bestFit="1" customWidth="1"/>
    <col min="4" max="4" width="10.7265625" bestFit="1" customWidth="1"/>
  </cols>
  <sheetData>
    <row r="3" spans="1:4" x14ac:dyDescent="0.35">
      <c r="A3" s="4" t="s">
        <v>70</v>
      </c>
      <c r="B3" s="4" t="s">
        <v>79</v>
      </c>
    </row>
    <row r="4" spans="1:4" x14ac:dyDescent="0.35">
      <c r="A4" s="4" t="s">
        <v>68</v>
      </c>
      <c r="B4" t="s">
        <v>60</v>
      </c>
      <c r="C4" t="s">
        <v>59</v>
      </c>
      <c r="D4" t="s">
        <v>69</v>
      </c>
    </row>
    <row r="5" spans="1:4" x14ac:dyDescent="0.35">
      <c r="A5" s="5" t="s">
        <v>63</v>
      </c>
      <c r="B5">
        <v>9</v>
      </c>
      <c r="C5">
        <v>6</v>
      </c>
      <c r="D5">
        <v>15</v>
      </c>
    </row>
    <row r="6" spans="1:4" x14ac:dyDescent="0.35">
      <c r="A6" s="5" t="s">
        <v>66</v>
      </c>
      <c r="B6">
        <v>3</v>
      </c>
      <c r="C6">
        <v>7</v>
      </c>
      <c r="D6">
        <v>10</v>
      </c>
    </row>
    <row r="7" spans="1:4" x14ac:dyDescent="0.35">
      <c r="A7" s="5" t="s">
        <v>64</v>
      </c>
      <c r="B7">
        <v>4</v>
      </c>
      <c r="C7">
        <v>4</v>
      </c>
      <c r="D7">
        <v>8</v>
      </c>
    </row>
    <row r="8" spans="1:4" x14ac:dyDescent="0.35">
      <c r="A8" s="5" t="s">
        <v>65</v>
      </c>
      <c r="B8">
        <v>6</v>
      </c>
      <c r="C8">
        <v>4</v>
      </c>
      <c r="D8">
        <v>10</v>
      </c>
    </row>
    <row r="9" spans="1:4" x14ac:dyDescent="0.35">
      <c r="A9" s="5" t="s">
        <v>67</v>
      </c>
      <c r="B9">
        <v>2</v>
      </c>
      <c r="C9">
        <v>5</v>
      </c>
      <c r="D9">
        <v>7</v>
      </c>
    </row>
    <row r="10" spans="1:4" x14ac:dyDescent="0.35">
      <c r="A10" s="5" t="s">
        <v>69</v>
      </c>
      <c r="B10">
        <v>24</v>
      </c>
      <c r="C10">
        <v>26</v>
      </c>
      <c r="D10">
        <v>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4DA3-29B1-49F6-984A-117EEBABF6FB}">
  <dimension ref="A3:B9"/>
  <sheetViews>
    <sheetView workbookViewId="0">
      <selection activeCell="A6" sqref="A6"/>
    </sheetView>
  </sheetViews>
  <sheetFormatPr defaultRowHeight="14.5" x14ac:dyDescent="0.35"/>
  <cols>
    <col min="1" max="1" width="19.81640625" bestFit="1" customWidth="1"/>
    <col min="2" max="2" width="20.81640625" bestFit="1" customWidth="1"/>
  </cols>
  <sheetData>
    <row r="3" spans="1:2" x14ac:dyDescent="0.35">
      <c r="A3" s="4" t="s">
        <v>68</v>
      </c>
      <c r="B3" t="s">
        <v>70</v>
      </c>
    </row>
    <row r="4" spans="1:2" x14ac:dyDescent="0.35">
      <c r="A4" s="5" t="s">
        <v>63</v>
      </c>
      <c r="B4">
        <v>15</v>
      </c>
    </row>
    <row r="5" spans="1:2" x14ac:dyDescent="0.35">
      <c r="A5" s="5" t="s">
        <v>66</v>
      </c>
      <c r="B5">
        <v>10</v>
      </c>
    </row>
    <row r="6" spans="1:2" x14ac:dyDescent="0.35">
      <c r="A6" s="5" t="s">
        <v>64</v>
      </c>
      <c r="B6">
        <v>8</v>
      </c>
    </row>
    <row r="7" spans="1:2" x14ac:dyDescent="0.35">
      <c r="A7" s="5" t="s">
        <v>65</v>
      </c>
      <c r="B7">
        <v>10</v>
      </c>
    </row>
    <row r="8" spans="1:2" x14ac:dyDescent="0.35">
      <c r="A8" s="5" t="s">
        <v>67</v>
      </c>
      <c r="B8">
        <v>7</v>
      </c>
    </row>
    <row r="9" spans="1:2" x14ac:dyDescent="0.35">
      <c r="A9" s="5" t="s">
        <v>69</v>
      </c>
      <c r="B9">
        <v>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2458-D5DF-4DFC-BAD0-AC464C6E6738}">
  <dimension ref="A3:D10"/>
  <sheetViews>
    <sheetView workbookViewId="0">
      <selection activeCell="B7" sqref="B7"/>
    </sheetView>
  </sheetViews>
  <sheetFormatPr defaultRowHeight="14.5" x14ac:dyDescent="0.35"/>
  <cols>
    <col min="1" max="1" width="20.81640625" bestFit="1" customWidth="1"/>
    <col min="2" max="2" width="15.26953125" bestFit="1" customWidth="1"/>
    <col min="3" max="3" width="4.54296875" bestFit="1" customWidth="1"/>
    <col min="4" max="4" width="10.7265625" bestFit="1" customWidth="1"/>
  </cols>
  <sheetData>
    <row r="3" spans="1:4" x14ac:dyDescent="0.35">
      <c r="A3" s="4" t="s">
        <v>70</v>
      </c>
      <c r="B3" s="4" t="s">
        <v>79</v>
      </c>
    </row>
    <row r="4" spans="1:4" x14ac:dyDescent="0.35">
      <c r="A4" s="4" t="s">
        <v>68</v>
      </c>
      <c r="B4" t="s">
        <v>60</v>
      </c>
      <c r="C4" t="s">
        <v>59</v>
      </c>
      <c r="D4" t="s">
        <v>69</v>
      </c>
    </row>
    <row r="5" spans="1:4" x14ac:dyDescent="0.35">
      <c r="A5" s="5" t="s">
        <v>81</v>
      </c>
      <c r="B5">
        <v>2</v>
      </c>
      <c r="C5">
        <v>2</v>
      </c>
      <c r="D5">
        <v>4</v>
      </c>
    </row>
    <row r="6" spans="1:4" x14ac:dyDescent="0.35">
      <c r="A6" s="5" t="s">
        <v>82</v>
      </c>
      <c r="B6">
        <v>4</v>
      </c>
      <c r="C6">
        <v>5</v>
      </c>
      <c r="D6">
        <v>9</v>
      </c>
    </row>
    <row r="7" spans="1:4" x14ac:dyDescent="0.35">
      <c r="A7" s="5" t="s">
        <v>83</v>
      </c>
      <c r="B7">
        <v>2</v>
      </c>
      <c r="C7">
        <v>4</v>
      </c>
      <c r="D7">
        <v>6</v>
      </c>
    </row>
    <row r="8" spans="1:4" x14ac:dyDescent="0.35">
      <c r="A8" s="5" t="s">
        <v>84</v>
      </c>
      <c r="B8">
        <v>4</v>
      </c>
      <c r="C8">
        <v>3</v>
      </c>
      <c r="D8">
        <v>7</v>
      </c>
    </row>
    <row r="9" spans="1:4" x14ac:dyDescent="0.35">
      <c r="A9" s="5" t="s">
        <v>85</v>
      </c>
      <c r="B9">
        <v>11</v>
      </c>
      <c r="C9">
        <v>13</v>
      </c>
      <c r="D9">
        <v>24</v>
      </c>
    </row>
    <row r="10" spans="1:4" x14ac:dyDescent="0.35">
      <c r="A10" s="5" t="s">
        <v>69</v>
      </c>
      <c r="B10">
        <v>23</v>
      </c>
      <c r="C10">
        <v>27</v>
      </c>
      <c r="D10">
        <v>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638C-655E-49D7-B3AE-42A23B728B06}">
  <dimension ref="A3:B9"/>
  <sheetViews>
    <sheetView workbookViewId="0">
      <selection activeCell="E21" sqref="E21"/>
    </sheetView>
  </sheetViews>
  <sheetFormatPr defaultRowHeight="14.5" x14ac:dyDescent="0.35"/>
  <cols>
    <col min="1" max="1" width="19.81640625" bestFit="1" customWidth="1"/>
    <col min="2" max="2" width="21.26953125" bestFit="1" customWidth="1"/>
  </cols>
  <sheetData>
    <row r="3" spans="1:2" x14ac:dyDescent="0.35">
      <c r="A3" s="4" t="s">
        <v>68</v>
      </c>
      <c r="B3" t="s">
        <v>87</v>
      </c>
    </row>
    <row r="4" spans="1:2" x14ac:dyDescent="0.35">
      <c r="A4" s="5" t="s">
        <v>63</v>
      </c>
      <c r="B4" s="7">
        <v>4.7333333333333334</v>
      </c>
    </row>
    <row r="5" spans="1:2" x14ac:dyDescent="0.35">
      <c r="A5" s="5" t="s">
        <v>66</v>
      </c>
      <c r="B5" s="7">
        <v>4.5999999999999996</v>
      </c>
    </row>
    <row r="6" spans="1:2" x14ac:dyDescent="0.35">
      <c r="A6" s="5" t="s">
        <v>64</v>
      </c>
      <c r="B6" s="7">
        <v>4.75</v>
      </c>
    </row>
    <row r="7" spans="1:2" x14ac:dyDescent="0.35">
      <c r="A7" s="5" t="s">
        <v>65</v>
      </c>
      <c r="B7" s="7">
        <v>4.8</v>
      </c>
    </row>
    <row r="8" spans="1:2" x14ac:dyDescent="0.35">
      <c r="A8" s="5" t="s">
        <v>67</v>
      </c>
      <c r="B8" s="7">
        <v>4.7142857142857144</v>
      </c>
    </row>
    <row r="9" spans="1:2" x14ac:dyDescent="0.35">
      <c r="A9" s="5" t="s">
        <v>69</v>
      </c>
      <c r="B9" s="7">
        <v>4.72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B51E22-E064-4B81-A2A5-3E091FFC5E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Women's Health Data</vt:lpstr>
      <vt:lpstr>Complet. Serv. (Labs Completed)</vt:lpstr>
      <vt:lpstr>WomensHealth</vt:lpstr>
      <vt:lpstr>Complet. Rate NoComplet. Serv. </vt:lpstr>
      <vt:lpstr>Follow-up Appointments by Visit</vt:lpstr>
      <vt:lpstr>Visit Type Distrib.</vt:lpstr>
      <vt:lpstr>Education Provided Rate Age Gro</vt:lpstr>
      <vt:lpstr>Avg. Service Score by Visit Typ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Rao</dc:creator>
  <cp:lastModifiedBy>Pranav Rao</cp:lastModifiedBy>
  <dcterms:created xsi:type="dcterms:W3CDTF">2015-06-05T18:17:20Z</dcterms:created>
  <dcterms:modified xsi:type="dcterms:W3CDTF">2025-07-31T21:52:19Z</dcterms:modified>
</cp:coreProperties>
</file>